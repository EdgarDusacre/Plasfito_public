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usacre\ownCloud\PhD\SCIENCES\Manips\Tox\RTL-W1\"/>
    </mc:Choice>
  </mc:AlternateContent>
  <xr:revisionPtr revIDLastSave="0" documentId="13_ncr:1_{E97E2635-8EA5-4E2B-8E79-9C64E571C821}" xr6:coauthVersionLast="47" xr6:coauthVersionMax="47" xr10:uidLastSave="{00000000-0000-0000-0000-000000000000}"/>
  <bookViews>
    <workbookView xWindow="29295" yWindow="0" windowWidth="26490" windowHeight="15045" activeTab="1" xr2:uid="{00000000-000D-0000-FFFF-FFFF00000000}"/>
  </bookViews>
  <sheets>
    <sheet name="1%" sheetId="6" r:id="rId1"/>
    <sheet name="0,1%" sheetId="8" r:id="rId2"/>
    <sheet name="Feuil2" sheetId="11" r:id="rId3"/>
    <sheet name="Feuil1" sheetId="10" r:id="rId4"/>
  </sheets>
  <definedNames>
    <definedName name="_xlnm._FilterDatabase" localSheetId="2" hidden="1">Feuil2!$A$1:$D$1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39" i="6" l="1"/>
  <c r="AK21" i="8"/>
  <c r="AO9" i="6" l="1"/>
  <c r="AM20" i="6"/>
  <c r="AM19" i="6"/>
  <c r="AM18" i="6"/>
  <c r="AB11" i="6"/>
  <c r="AC11" i="6"/>
  <c r="AD11" i="6"/>
  <c r="AE11" i="6"/>
  <c r="AF11" i="6"/>
  <c r="BA10" i="6" s="1"/>
  <c r="AA12" i="6"/>
  <c r="AB12" i="6"/>
  <c r="AC12" i="6"/>
  <c r="AF13" i="6"/>
  <c r="AB10" i="6"/>
  <c r="AC10" i="6"/>
  <c r="AD10" i="6"/>
  <c r="AE10" i="6"/>
  <c r="AF10" i="6"/>
  <c r="BA9" i="6" s="1"/>
  <c r="AA19" i="6"/>
  <c r="AN13" i="6" s="1"/>
  <c r="AB19" i="6"/>
  <c r="AD20" i="6"/>
  <c r="AE20" i="6"/>
  <c r="AF20" i="6"/>
  <c r="AA21" i="6"/>
  <c r="AM12" i="6" s="1"/>
  <c r="AB21" i="6"/>
  <c r="AM13" i="6" s="1"/>
  <c r="AC21" i="6"/>
  <c r="AM14" i="6" s="1"/>
  <c r="AD21" i="6"/>
  <c r="AE21" i="6"/>
  <c r="AF21" i="6"/>
  <c r="AB27" i="6"/>
  <c r="AC27" i="6"/>
  <c r="AD27" i="6"/>
  <c r="AE27" i="6"/>
  <c r="AF27" i="6"/>
  <c r="AA28" i="6"/>
  <c r="AB28" i="6"/>
  <c r="AC28" i="6"/>
  <c r="AD28" i="6"/>
  <c r="AE28" i="6"/>
  <c r="AF29" i="6"/>
  <c r="AB26" i="6"/>
  <c r="AC26" i="6"/>
  <c r="AD26" i="6"/>
  <c r="AE26" i="6"/>
  <c r="AF26" i="6"/>
  <c r="AA35" i="6"/>
  <c r="AB35" i="6"/>
  <c r="AC35" i="6"/>
  <c r="AD35" i="6"/>
  <c r="AD36" i="6"/>
  <c r="AE36" i="6"/>
  <c r="AF36" i="6"/>
  <c r="AA37" i="6"/>
  <c r="AB37" i="6"/>
  <c r="AC37" i="6"/>
  <c r="AD37" i="6"/>
  <c r="AE37" i="6"/>
  <c r="AF37" i="6"/>
  <c r="AB34" i="6"/>
  <c r="AC34" i="6"/>
  <c r="AA43" i="6"/>
  <c r="AB43" i="6"/>
  <c r="AC43" i="6"/>
  <c r="AD43" i="6"/>
  <c r="AE43" i="6"/>
  <c r="AF43" i="6"/>
  <c r="AA44" i="6"/>
  <c r="AB44" i="6"/>
  <c r="AC44" i="6"/>
  <c r="AD44" i="6"/>
  <c r="AE44" i="6"/>
  <c r="AF44" i="6"/>
  <c r="AE45" i="6"/>
  <c r="AF45" i="6"/>
  <c r="AB42" i="6"/>
  <c r="AC42" i="6"/>
  <c r="AD42" i="6"/>
  <c r="AE42" i="6"/>
  <c r="AF42" i="6"/>
  <c r="AA51" i="6"/>
  <c r="AB51" i="6"/>
  <c r="AC51" i="6"/>
  <c r="AD51" i="6"/>
  <c r="AE51" i="6"/>
  <c r="AD52" i="6"/>
  <c r="AE52" i="6"/>
  <c r="AF52" i="6"/>
  <c r="AA53" i="6"/>
  <c r="AM24" i="6" s="1"/>
  <c r="AB53" i="6"/>
  <c r="AM25" i="6" s="1"/>
  <c r="AC53" i="6"/>
  <c r="AM26" i="6" s="1"/>
  <c r="AD53" i="6"/>
  <c r="AE53" i="6"/>
  <c r="AF53" i="6"/>
  <c r="AB50" i="6"/>
  <c r="AC50" i="6"/>
  <c r="AD50" i="6"/>
  <c r="AB59" i="6"/>
  <c r="AO10" i="6" s="1"/>
  <c r="AC59" i="6"/>
  <c r="AD59" i="6"/>
  <c r="AE59" i="6"/>
  <c r="AZ10" i="6" s="1"/>
  <c r="AF59" i="6"/>
  <c r="BA22" i="6" s="1"/>
  <c r="AA60" i="6"/>
  <c r="AB60" i="6"/>
  <c r="AO11" i="6" s="1"/>
  <c r="AC60" i="6"/>
  <c r="AP11" i="6" s="1"/>
  <c r="AD60" i="6"/>
  <c r="AY11" i="6" s="1"/>
  <c r="AE60" i="6"/>
  <c r="AZ11" i="6" s="1"/>
  <c r="AF60" i="6"/>
  <c r="AA61" i="6"/>
  <c r="AM27" i="6" s="1"/>
  <c r="AF61" i="6"/>
  <c r="AB58" i="6"/>
  <c r="AC58" i="6"/>
  <c r="AP9" i="6" s="1"/>
  <c r="AD58" i="6"/>
  <c r="AE58" i="6"/>
  <c r="AZ9" i="6" s="1"/>
  <c r="AF58" i="6"/>
  <c r="BA21" i="6" s="1"/>
  <c r="AA68" i="6"/>
  <c r="AB68" i="6"/>
  <c r="AO14" i="6" s="1"/>
  <c r="AC68" i="6"/>
  <c r="AD68" i="6"/>
  <c r="AE68" i="6"/>
  <c r="AZ14" i="6" s="1"/>
  <c r="AF68" i="6"/>
  <c r="AE69" i="6"/>
  <c r="AF69" i="6"/>
  <c r="AA67" i="6"/>
  <c r="AB67" i="6"/>
  <c r="AO13" i="6" s="1"/>
  <c r="AC67" i="6"/>
  <c r="AD67" i="6"/>
  <c r="AE67" i="6"/>
  <c r="AF67" i="6"/>
  <c r="AB66" i="6"/>
  <c r="AO12" i="6" s="1"/>
  <c r="AC66" i="6"/>
  <c r="AP12" i="6" s="1"/>
  <c r="AD66" i="6"/>
  <c r="AY12" i="6" s="1"/>
  <c r="AE66" i="6"/>
  <c r="AZ12" i="6" s="1"/>
  <c r="AA66" i="6"/>
  <c r="AA58" i="6"/>
  <c r="AA42" i="6"/>
  <c r="AA26" i="6"/>
  <c r="AA18" i="6"/>
  <c r="AN12" i="6" s="1"/>
  <c r="AA10" i="6"/>
  <c r="AN9" i="6" s="1"/>
  <c r="W74" i="6"/>
  <c r="AE76" i="6" s="1"/>
  <c r="W66" i="6"/>
  <c r="AB69" i="6" s="1"/>
  <c r="AM31" i="6" s="1"/>
  <c r="W58" i="6"/>
  <c r="AB61" i="6" s="1"/>
  <c r="AM28" i="6" s="1"/>
  <c r="W50" i="6"/>
  <c r="AC52" i="6" s="1"/>
  <c r="W42" i="6"/>
  <c r="W34" i="6"/>
  <c r="AE35" i="6" s="1"/>
  <c r="W26" i="6"/>
  <c r="AC29" i="6" s="1"/>
  <c r="AM17" i="6" s="1"/>
  <c r="W18" i="6"/>
  <c r="AF19" i="6" s="1"/>
  <c r="W10" i="6"/>
  <c r="AD12" i="6" s="1"/>
  <c r="V26" i="8"/>
  <c r="Z28" i="8" s="1"/>
  <c r="AJ19" i="8" s="1"/>
  <c r="V18" i="8"/>
  <c r="AD20" i="8" s="1"/>
  <c r="AN16" i="8" s="1"/>
  <c r="V10" i="8"/>
  <c r="Z10" i="8" s="1"/>
  <c r="AJ11" i="8" s="1"/>
  <c r="AE18" i="8"/>
  <c r="AO13" i="8" s="1"/>
  <c r="Z18" i="8"/>
  <c r="AJ14" i="8" s="1"/>
  <c r="Z27" i="8"/>
  <c r="AJ18" i="8" s="1"/>
  <c r="AD19" i="8"/>
  <c r="AN15" i="8" s="1"/>
  <c r="Z11" i="8"/>
  <c r="AJ12" i="8" s="1"/>
  <c r="AP10" i="6"/>
  <c r="AY10" i="6"/>
  <c r="AY13" i="6"/>
  <c r="AY14" i="6"/>
  <c r="AY9" i="6"/>
  <c r="AZ17" i="6" l="1"/>
  <c r="AD76" i="6"/>
  <c r="AY17" i="6" s="1"/>
  <c r="AF74" i="6"/>
  <c r="BA25" i="6" s="1"/>
  <c r="AB77" i="6"/>
  <c r="AM34" i="6" s="1"/>
  <c r="AB19" i="8"/>
  <c r="AL15" i="8" s="1"/>
  <c r="AA11" i="6"/>
  <c r="AN10" i="6" s="1"/>
  <c r="AC77" i="6"/>
  <c r="AM35" i="6" s="1"/>
  <c r="Z21" i="8"/>
  <c r="AI14" i="8" s="1"/>
  <c r="AE74" i="6"/>
  <c r="AE75" i="6"/>
  <c r="AA27" i="6"/>
  <c r="AD29" i="6"/>
  <c r="BA17" i="6"/>
  <c r="AB74" i="6"/>
  <c r="AO15" i="6" s="1"/>
  <c r="AC75" i="6"/>
  <c r="AP16" i="6" s="1"/>
  <c r="AD69" i="6"/>
  <c r="AE61" i="6"/>
  <c r="AA59" i="6"/>
  <c r="AD45" i="6"/>
  <c r="AA34" i="6"/>
  <c r="AB36" i="6"/>
  <c r="AE18" i="6"/>
  <c r="AA13" i="6"/>
  <c r="AM9" i="6" s="1"/>
  <c r="AF76" i="6"/>
  <c r="AA74" i="6"/>
  <c r="BA12" i="6"/>
  <c r="BA13" i="6"/>
  <c r="AC13" i="6"/>
  <c r="AM11" i="6" s="1"/>
  <c r="AF77" i="6"/>
  <c r="AB75" i="6"/>
  <c r="AO16" i="6" s="1"/>
  <c r="AC69" i="6"/>
  <c r="AM32" i="6" s="1"/>
  <c r="AD61" i="6"/>
  <c r="AA50" i="6"/>
  <c r="AB52" i="6"/>
  <c r="AC45" i="6"/>
  <c r="AM23" i="6" s="1"/>
  <c r="AF34" i="6"/>
  <c r="AA36" i="6"/>
  <c r="AB29" i="6"/>
  <c r="AM16" i="6" s="1"/>
  <c r="AD18" i="6"/>
  <c r="AE19" i="6"/>
  <c r="AF12" i="6"/>
  <c r="AB76" i="6"/>
  <c r="AE13" i="6"/>
  <c r="AD74" i="6"/>
  <c r="AY15" i="6" s="1"/>
  <c r="AE29" i="6"/>
  <c r="AD75" i="6"/>
  <c r="AY16" i="6" s="1"/>
  <c r="AA20" i="6"/>
  <c r="AN14" i="6" s="1"/>
  <c r="AB13" i="6"/>
  <c r="AM10" i="6" s="1"/>
  <c r="AE77" i="6"/>
  <c r="AA75" i="6"/>
  <c r="AN34" i="6" s="1"/>
  <c r="AC61" i="6"/>
  <c r="AM29" i="6" s="1"/>
  <c r="AF50" i="6"/>
  <c r="AA52" i="6"/>
  <c r="AB45" i="6"/>
  <c r="AM22" i="6" s="1"/>
  <c r="AE34" i="6"/>
  <c r="AF35" i="6"/>
  <c r="AA29" i="6"/>
  <c r="AM15" i="6" s="1"/>
  <c r="AC18" i="6"/>
  <c r="AD19" i="6"/>
  <c r="AE12" i="6"/>
  <c r="AA77" i="6"/>
  <c r="AM33" i="6" s="1"/>
  <c r="AC76" i="6"/>
  <c r="AP17" i="6" s="1"/>
  <c r="AA26" i="8"/>
  <c r="AK17" i="8" s="1"/>
  <c r="AA76" i="6"/>
  <c r="AF75" i="6"/>
  <c r="BA26" i="6" s="1"/>
  <c r="AC20" i="6"/>
  <c r="AD13" i="6"/>
  <c r="AB20" i="6"/>
  <c r="AC74" i="6"/>
  <c r="AC36" i="6"/>
  <c r="AF18" i="6"/>
  <c r="BA11" i="6" s="1"/>
  <c r="BA24" i="6"/>
  <c r="AD77" i="6"/>
  <c r="AF66" i="6"/>
  <c r="BA23" i="6" s="1"/>
  <c r="AA69" i="6"/>
  <c r="AM30" i="6" s="1"/>
  <c r="AE50" i="6"/>
  <c r="AF51" i="6"/>
  <c r="BA20" i="6" s="1"/>
  <c r="AA45" i="6"/>
  <c r="AM21" i="6" s="1"/>
  <c r="AD34" i="6"/>
  <c r="AF28" i="6"/>
  <c r="AB18" i="6"/>
  <c r="AC19" i="6"/>
  <c r="BA16" i="6"/>
  <c r="BA15" i="6"/>
  <c r="BA18" i="6"/>
  <c r="BA19" i="6"/>
  <c r="AZ15" i="6"/>
  <c r="AZ16" i="6"/>
  <c r="AO17" i="6"/>
  <c r="AP13" i="6"/>
  <c r="AP14" i="6"/>
  <c r="AZ13" i="6"/>
  <c r="AZ39" i="6" s="1"/>
  <c r="AB10" i="8"/>
  <c r="AL11" i="8" s="1"/>
  <c r="AA12" i="8"/>
  <c r="AK13" i="8" s="1"/>
  <c r="AC19" i="8"/>
  <c r="AM15" i="8" s="1"/>
  <c r="AB26" i="8"/>
  <c r="AL17" i="8" s="1"/>
  <c r="AA28" i="8"/>
  <c r="AK19" i="8" s="1"/>
  <c r="Z12" i="8"/>
  <c r="AJ13" i="8" s="1"/>
  <c r="AB13" i="8"/>
  <c r="AI13" i="8" s="1"/>
  <c r="AE11" i="8"/>
  <c r="AO12" i="8" s="1"/>
  <c r="AD18" i="8"/>
  <c r="AN14" i="8" s="1"/>
  <c r="AC20" i="8"/>
  <c r="AM16" i="8" s="1"/>
  <c r="AA19" i="8"/>
  <c r="AK15" i="8" s="1"/>
  <c r="AB29" i="8"/>
  <c r="AI19" i="8" s="1"/>
  <c r="AE27" i="8"/>
  <c r="AO16" i="8" s="1"/>
  <c r="AA13" i="8"/>
  <c r="AI12" i="8" s="1"/>
  <c r="AD11" i="8"/>
  <c r="AN12" i="8" s="1"/>
  <c r="AC18" i="8"/>
  <c r="AM14" i="8" s="1"/>
  <c r="AB20" i="8"/>
  <c r="AL16" i="8" s="1"/>
  <c r="Z19" i="8"/>
  <c r="AJ15" i="8" s="1"/>
  <c r="AA29" i="8"/>
  <c r="AI18" i="8" s="1"/>
  <c r="AD27" i="8"/>
  <c r="AN18" i="8" s="1"/>
  <c r="AA10" i="8"/>
  <c r="AK11" i="8" s="1"/>
  <c r="Z13" i="8"/>
  <c r="AI11" i="8" s="1"/>
  <c r="AC11" i="8"/>
  <c r="AM12" i="8" s="1"/>
  <c r="AB18" i="8"/>
  <c r="AL14" i="8" s="1"/>
  <c r="AA20" i="8"/>
  <c r="AK16" i="8" s="1"/>
  <c r="Z26" i="8"/>
  <c r="AJ17" i="8" s="1"/>
  <c r="Z29" i="8"/>
  <c r="AI17" i="8" s="1"/>
  <c r="AC27" i="8"/>
  <c r="AM18" i="8" s="1"/>
  <c r="AE10" i="8"/>
  <c r="AO11" i="8" s="1"/>
  <c r="AD12" i="8"/>
  <c r="AN13" i="8" s="1"/>
  <c r="AB11" i="8"/>
  <c r="AL12" i="8" s="1"/>
  <c r="AA18" i="8"/>
  <c r="AK14" i="8" s="1"/>
  <c r="Z20" i="8"/>
  <c r="AJ16" i="8" s="1"/>
  <c r="AE26" i="8"/>
  <c r="AO15" i="8" s="1"/>
  <c r="AD28" i="8"/>
  <c r="AN19" i="8" s="1"/>
  <c r="AB27" i="8"/>
  <c r="AL18" i="8" s="1"/>
  <c r="AD10" i="8"/>
  <c r="AN11" i="8" s="1"/>
  <c r="AC12" i="8"/>
  <c r="AM13" i="8" s="1"/>
  <c r="AA11" i="8"/>
  <c r="AK12" i="8" s="1"/>
  <c r="AB21" i="8"/>
  <c r="AI16" i="8" s="1"/>
  <c r="AE19" i="8"/>
  <c r="AO14" i="8" s="1"/>
  <c r="AD26" i="8"/>
  <c r="AN17" i="8" s="1"/>
  <c r="AC28" i="8"/>
  <c r="AM19" i="8" s="1"/>
  <c r="AA27" i="8"/>
  <c r="AK18" i="8" s="1"/>
  <c r="AC10" i="8"/>
  <c r="AM11" i="8" s="1"/>
  <c r="AB12" i="8"/>
  <c r="AL13" i="8" s="1"/>
  <c r="AA21" i="8"/>
  <c r="AI15" i="8" s="1"/>
  <c r="AC26" i="8"/>
  <c r="AM17" i="8" s="1"/>
  <c r="AB28" i="8"/>
  <c r="AL19" i="8" s="1"/>
  <c r="AN32" i="6"/>
  <c r="AN31" i="6"/>
  <c r="AN35" i="6"/>
  <c r="AP15" i="6"/>
  <c r="AY40" i="6" l="1"/>
  <c r="AY39" i="6"/>
  <c r="AP39" i="6"/>
  <c r="BE12" i="6" s="1"/>
  <c r="AO39" i="6"/>
  <c r="BE11" i="6" s="1"/>
  <c r="AO40" i="6"/>
  <c r="AZ40" i="6"/>
  <c r="AM40" i="6"/>
  <c r="BE9" i="6"/>
  <c r="AP40" i="6"/>
  <c r="AN21" i="8"/>
  <c r="AT15" i="8"/>
  <c r="AN22" i="8"/>
  <c r="AU15" i="8" s="1"/>
  <c r="AO21" i="8"/>
  <c r="AT16" i="8" s="1"/>
  <c r="AO22" i="8"/>
  <c r="AU16" i="8" s="1"/>
  <c r="AJ22" i="8"/>
  <c r="AU11" i="8" s="1"/>
  <c r="AJ21" i="8"/>
  <c r="AT11" i="8" s="1"/>
  <c r="AT12" i="8"/>
  <c r="AK22" i="8"/>
  <c r="AU12" i="8" s="1"/>
  <c r="AI21" i="8"/>
  <c r="AT10" i="8" s="1"/>
  <c r="AI22" i="8"/>
  <c r="AU10" i="8" s="1"/>
  <c r="AM21" i="8"/>
  <c r="AT14" i="8" s="1"/>
  <c r="AM22" i="8"/>
  <c r="AU14" i="8" s="1"/>
  <c r="AL22" i="8"/>
  <c r="AU13" i="8" s="1"/>
  <c r="AL21" i="8"/>
  <c r="AT13" i="8" s="1"/>
  <c r="AN30" i="6" l="1"/>
  <c r="AV13" i="6"/>
  <c r="AN21" i="6"/>
  <c r="BF22" i="6"/>
  <c r="BF21" i="6"/>
  <c r="BF12" i="6"/>
  <c r="BF11" i="6"/>
  <c r="BE22" i="6"/>
  <c r="BE21" i="6"/>
  <c r="AQ11" i="6" l="1"/>
  <c r="AR11" i="6"/>
  <c r="AU17" i="6"/>
  <c r="AV17" i="6"/>
  <c r="AW17" i="6"/>
  <c r="AS14" i="6"/>
  <c r="AN28" i="6"/>
  <c r="AU11" i="6"/>
  <c r="AQ17" i="6"/>
  <c r="AR17" i="6"/>
  <c r="AN17" i="6"/>
  <c r="AN22" i="6"/>
  <c r="AN25" i="6"/>
  <c r="AV14" i="6"/>
  <c r="AN26" i="6"/>
  <c r="AX14" i="6"/>
  <c r="AW15" i="6"/>
  <c r="AX15" i="6"/>
  <c r="AN16" i="6"/>
  <c r="AR12" i="6"/>
  <c r="AV9" i="6"/>
  <c r="AT12" i="6"/>
  <c r="AX10" i="6"/>
  <c r="AQ12" i="6"/>
  <c r="AV10" i="6"/>
  <c r="AS13" i="6"/>
  <c r="AX11" i="6"/>
  <c r="AN18" i="6"/>
  <c r="AS12" i="6"/>
  <c r="AT13" i="6"/>
  <c r="AT10" i="6"/>
  <c r="AS11" i="6"/>
  <c r="AQ10" i="6"/>
  <c r="AT9" i="6"/>
  <c r="AS9" i="6"/>
  <c r="AT16" i="6"/>
  <c r="AR9" i="6"/>
  <c r="AR13" i="6"/>
  <c r="AT14" i="6"/>
  <c r="AN19" i="6"/>
  <c r="AV11" i="6"/>
  <c r="AX12" i="6"/>
  <c r="AN23" i="6"/>
  <c r="AV15" i="6"/>
  <c r="AX16" i="6"/>
  <c r="AN27" i="6"/>
  <c r="AQ16" i="6"/>
  <c r="AS17" i="6"/>
  <c r="AU10" i="6"/>
  <c r="AW11" i="6"/>
  <c r="AU14" i="6"/>
  <c r="AN33" i="6"/>
  <c r="AR16" i="6"/>
  <c r="AN15" i="6"/>
  <c r="AS16" i="6"/>
  <c r="AU9" i="6"/>
  <c r="AW10" i="6"/>
  <c r="AU13" i="6"/>
  <c r="AW14" i="6"/>
  <c r="AN29" i="6"/>
  <c r="AQ15" i="6"/>
  <c r="AR10" i="6"/>
  <c r="AT11" i="6"/>
  <c r="AQ14" i="6"/>
  <c r="AR15" i="6"/>
  <c r="BA14" i="6"/>
  <c r="AW9" i="6"/>
  <c r="AU12" i="6"/>
  <c r="AW13" i="6"/>
  <c r="AU16" i="6"/>
  <c r="AS10" i="6"/>
  <c r="AR14" i="6"/>
  <c r="AS15" i="6"/>
  <c r="AX9" i="6"/>
  <c r="AN20" i="6"/>
  <c r="AV12" i="6"/>
  <c r="AX13" i="6"/>
  <c r="AN24" i="6"/>
  <c r="AV16" i="6"/>
  <c r="AX17" i="6"/>
  <c r="AT17" i="6"/>
  <c r="AQ9" i="6"/>
  <c r="AQ13" i="6"/>
  <c r="AT15" i="6"/>
  <c r="AW12" i="6"/>
  <c r="AU15" i="6"/>
  <c r="AW16" i="6"/>
  <c r="AX39" i="6" l="1"/>
  <c r="AX40" i="6"/>
  <c r="AU39" i="6"/>
  <c r="AU40" i="6"/>
  <c r="BF17" i="6" s="1"/>
  <c r="AV40" i="6"/>
  <c r="AV39" i="6"/>
  <c r="BA40" i="6"/>
  <c r="BF23" i="6" s="1"/>
  <c r="BA39" i="6"/>
  <c r="BE23" i="6" s="1"/>
  <c r="AR40" i="6"/>
  <c r="BF14" i="6" s="1"/>
  <c r="AR39" i="6"/>
  <c r="BE14" i="6" s="1"/>
  <c r="AW40" i="6"/>
  <c r="BF19" i="6" s="1"/>
  <c r="AW39" i="6"/>
  <c r="BE19" i="6" s="1"/>
  <c r="AS39" i="6"/>
  <c r="BE15" i="6" s="1"/>
  <c r="AS40" i="6"/>
  <c r="BF15" i="6" s="1"/>
  <c r="AQ40" i="6"/>
  <c r="BF13" i="6" s="1"/>
  <c r="AQ39" i="6"/>
  <c r="BE13" i="6" s="1"/>
  <c r="AT39" i="6"/>
  <c r="AT40" i="6"/>
  <c r="BE17" i="6"/>
  <c r="BF16" i="6"/>
  <c r="BE16" i="6"/>
  <c r="BE18" i="6"/>
  <c r="BF18" i="6"/>
  <c r="BE20" i="6"/>
  <c r="BF20" i="6"/>
  <c r="AN11" i="6"/>
  <c r="AN39" i="6" l="1"/>
  <c r="BE10" i="6" s="1"/>
  <c r="AN40" i="6"/>
  <c r="BF10" i="6" s="1"/>
  <c r="BF9" i="6" l="1"/>
</calcChain>
</file>

<file path=xl/sharedStrings.xml><?xml version="1.0" encoding="utf-8"?>
<sst xmlns="http://schemas.openxmlformats.org/spreadsheetml/2006/main" count="1071" uniqueCount="70">
  <si>
    <t>Negative Control</t>
  </si>
  <si>
    <t>Solvent Control</t>
  </si>
  <si>
    <t>new</t>
  </si>
  <si>
    <t>used</t>
  </si>
  <si>
    <r>
      <t>Pasaia Pa</t>
    </r>
    <r>
      <rPr>
        <sz val="11"/>
        <color theme="1"/>
        <rFont val="Calibri"/>
        <family val="2"/>
      </rPr>
      <t>α 35</t>
    </r>
  </si>
  <si>
    <r>
      <t xml:space="preserve">EPMO Pa </t>
    </r>
    <r>
      <rPr>
        <sz val="11"/>
        <color theme="1"/>
        <rFont val="Calibri"/>
        <family val="2"/>
      </rPr>
      <t>γ 60</t>
    </r>
  </si>
  <si>
    <t>Positive Control</t>
  </si>
  <si>
    <t>h202</t>
  </si>
  <si>
    <r>
      <t xml:space="preserve">St.Jean HDPE </t>
    </r>
    <r>
      <rPr>
        <sz val="11"/>
        <rFont val="Calibri"/>
        <family val="2"/>
      </rPr>
      <t xml:space="preserve">ε 4,25 </t>
    </r>
  </si>
  <si>
    <r>
      <t xml:space="preserve">Arcachon Pa </t>
    </r>
    <r>
      <rPr>
        <sz val="11"/>
        <rFont val="Calibri"/>
        <family val="2"/>
      </rPr>
      <t>β 33</t>
    </r>
  </si>
  <si>
    <r>
      <t xml:space="preserve">Arcachon Pa </t>
    </r>
    <r>
      <rPr>
        <sz val="11"/>
        <rFont val="Calibri"/>
        <family val="2"/>
      </rPr>
      <t>β 0,2</t>
    </r>
  </si>
  <si>
    <r>
      <t xml:space="preserve">EPMO Pa </t>
    </r>
    <r>
      <rPr>
        <sz val="11"/>
        <rFont val="Calibri"/>
        <family val="2"/>
      </rPr>
      <t>γ 33</t>
    </r>
  </si>
  <si>
    <r>
      <t xml:space="preserve">EPMO </t>
    </r>
    <r>
      <rPr>
        <sz val="11"/>
        <rFont val="Calibri"/>
        <family val="2"/>
      </rPr>
      <t>δ 35</t>
    </r>
  </si>
  <si>
    <r>
      <t xml:space="preserve">EPMO </t>
    </r>
    <r>
      <rPr>
        <sz val="11"/>
        <rFont val="Calibri"/>
        <family val="2"/>
      </rPr>
      <t>δ 60</t>
    </r>
  </si>
  <si>
    <t>A</t>
  </si>
  <si>
    <t>B</t>
  </si>
  <si>
    <t>H202</t>
  </si>
  <si>
    <t>C</t>
  </si>
  <si>
    <t>D</t>
  </si>
  <si>
    <t>E</t>
  </si>
  <si>
    <t>F</t>
  </si>
  <si>
    <r>
      <t xml:space="preserve">Arcachon Pa </t>
    </r>
    <r>
      <rPr>
        <sz val="11"/>
        <color theme="1"/>
        <rFont val="Calibri"/>
        <family val="2"/>
      </rPr>
      <t>β 33</t>
    </r>
  </si>
  <si>
    <r>
      <t xml:space="preserve">Arcachon Pa </t>
    </r>
    <r>
      <rPr>
        <sz val="11"/>
        <color theme="1"/>
        <rFont val="Calibri"/>
        <family val="2"/>
      </rPr>
      <t>β 0,2</t>
    </r>
  </si>
  <si>
    <r>
      <t xml:space="preserve">EPMO Pa </t>
    </r>
    <r>
      <rPr>
        <sz val="11"/>
        <color theme="1"/>
        <rFont val="Calibri"/>
        <family val="2"/>
      </rPr>
      <t>γ 33</t>
    </r>
  </si>
  <si>
    <r>
      <t xml:space="preserve">EPMO </t>
    </r>
    <r>
      <rPr>
        <sz val="11"/>
        <color theme="1"/>
        <rFont val="Calibri"/>
        <family val="2"/>
      </rPr>
      <t>δ 35</t>
    </r>
  </si>
  <si>
    <t>AR PA 0,33 N</t>
  </si>
  <si>
    <t>AR PA 0,33  USED</t>
  </si>
  <si>
    <t>PA 0,95 N</t>
  </si>
  <si>
    <t>AR PA 0,2 USED</t>
  </si>
  <si>
    <t>EP PA 0,33 NEW</t>
  </si>
  <si>
    <t>PA 0,33 USED</t>
  </si>
  <si>
    <t>PBS 0,35 N</t>
  </si>
  <si>
    <t>*PBS 0,35 N</t>
  </si>
  <si>
    <t>SOLVENT CONTROL</t>
  </si>
  <si>
    <t>NEG CONTROL</t>
  </si>
  <si>
    <t>µp1</t>
  </si>
  <si>
    <t>µp2</t>
  </si>
  <si>
    <t>µp3</t>
  </si>
  <si>
    <t>µp4</t>
  </si>
  <si>
    <t>µp5</t>
  </si>
  <si>
    <t>µp6</t>
  </si>
  <si>
    <t>µp7</t>
  </si>
  <si>
    <t>µp8</t>
  </si>
  <si>
    <t>µp9</t>
  </si>
  <si>
    <r>
      <t xml:space="preserve">St.Jean HDPE </t>
    </r>
    <r>
      <rPr>
        <sz val="11"/>
        <rFont val="Calibri"/>
        <family val="2"/>
      </rPr>
      <t>ε 4,25 NEW</t>
    </r>
  </si>
  <si>
    <r>
      <t xml:space="preserve">St.Jean HDPE </t>
    </r>
    <r>
      <rPr>
        <sz val="11"/>
        <rFont val="Calibri"/>
        <family val="2"/>
      </rPr>
      <t>ε 4,25 USED</t>
    </r>
  </si>
  <si>
    <r>
      <t xml:space="preserve">EPMO </t>
    </r>
    <r>
      <rPr>
        <sz val="11"/>
        <rFont val="Calibri"/>
        <family val="2"/>
      </rPr>
      <t>δ 60 NEW</t>
    </r>
  </si>
  <si>
    <r>
      <t xml:space="preserve">EPMO </t>
    </r>
    <r>
      <rPr>
        <sz val="11"/>
        <rFont val="Calibri"/>
        <family val="2"/>
      </rPr>
      <t>δ 60 USED</t>
    </r>
  </si>
  <si>
    <r>
      <t>Pasaia Pa</t>
    </r>
    <r>
      <rPr>
        <sz val="11"/>
        <color theme="1"/>
        <rFont val="Calibri"/>
        <family val="2"/>
      </rPr>
      <t>α 35 NEW</t>
    </r>
  </si>
  <si>
    <r>
      <t>Pasaia Pa</t>
    </r>
    <r>
      <rPr>
        <sz val="11"/>
        <color theme="1"/>
        <rFont val="Calibri"/>
        <family val="2"/>
      </rPr>
      <t>α 35 USED</t>
    </r>
  </si>
  <si>
    <r>
      <t xml:space="preserve">EPMO Pa </t>
    </r>
    <r>
      <rPr>
        <sz val="11"/>
        <color theme="1"/>
        <rFont val="Calibri"/>
        <family val="2"/>
      </rPr>
      <t>γ 60 NEW</t>
    </r>
  </si>
  <si>
    <r>
      <t xml:space="preserve">EPMO Pa </t>
    </r>
    <r>
      <rPr>
        <sz val="11"/>
        <color theme="1"/>
        <rFont val="Calibri"/>
        <family val="2"/>
      </rPr>
      <t>γ 60 USED</t>
    </r>
  </si>
  <si>
    <t>FN</t>
  </si>
  <si>
    <t>state</t>
  </si>
  <si>
    <t>mean</t>
  </si>
  <si>
    <t>sd</t>
  </si>
  <si>
    <t>ControlP</t>
  </si>
  <si>
    <t>ControlN</t>
  </si>
  <si>
    <t>dmso</t>
  </si>
  <si>
    <t>NA</t>
  </si>
  <si>
    <r>
      <t>hppe_e425</t>
    </r>
    <r>
      <rPr>
        <sz val="11"/>
        <color theme="1"/>
        <rFont val="Calibri"/>
        <family val="2"/>
      </rPr>
      <t xml:space="preserve"> </t>
    </r>
  </si>
  <si>
    <t>pa_b95</t>
  </si>
  <si>
    <r>
      <t>pa_b</t>
    </r>
    <r>
      <rPr>
        <sz val="11"/>
        <color theme="1"/>
        <rFont val="Calibri"/>
        <family val="2"/>
      </rPr>
      <t>33</t>
    </r>
  </si>
  <si>
    <t>pa_g33</t>
  </si>
  <si>
    <t>pbs_d35</t>
  </si>
  <si>
    <t>pbs_d60</t>
  </si>
  <si>
    <t>pa_a35</t>
  </si>
  <si>
    <t>pa_g60</t>
  </si>
  <si>
    <t>Conc_per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</si>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</sst>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 applyAlignment="1">
      <alignment horizontal="right"/>
    </xf>
    <xf numFmtId="0" fontId="1" fillId="0" borderId="0" xfId="0" applyFont="1"/>
    <xf numFmtId="0" fontId="3" fillId="0" borderId="0" xfId="0" applyFont="1"/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0" xfId="0" applyFont="1" applyBorder="1" applyAlignment="1">
      <alignment horizontal="right"/>
    </xf>
    <xf numFmtId="0" fontId="5" fillId="0" borderId="0" xfId="0" applyFont="1"/>
    <xf numFmtId="0" fontId="0" fillId="0" borderId="0" xfId="0" applyFont="1"/>
    <xf numFmtId="0" fontId="0" fillId="0" borderId="5" xfId="0" applyBorder="1"/>
    <xf numFmtId="0" fontId="0" fillId="0" borderId="0" xfId="0" applyFill="1"/>
    <xf numFmtId="0" fontId="5" fillId="0" borderId="0" xfId="0" applyFont="1" applyFill="1" applyAlignment="1">
      <alignment horizontal="center"/>
    </xf>
    <xf numFmtId="0" fontId="0" fillId="0" borderId="2" xfId="0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7" xfId="0" applyFill="1" applyBorder="1" applyAlignment="1">
      <alignment horizontal="right"/>
    </xf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0" fillId="0" borderId="2" xfId="0" applyFont="1" applyFill="1" applyBorder="1" applyAlignment="1">
      <alignment horizontal="right"/>
    </xf>
    <xf numFmtId="0" fontId="0" fillId="0" borderId="7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'1%'!$BF$9:$BF$23</c:f>
                <c:numCache>
                  <c:formatCode>General</c:formatCode>
                  <c:ptCount val="15"/>
                  <c:pt idx="0">
                    <c:v>6.6336753758247255E-2</c:v>
                  </c:pt>
                  <c:pt idx="1">
                    <c:v>5.7666790633300338E-2</c:v>
                  </c:pt>
                  <c:pt idx="2">
                    <c:v>5.0784552708759555E-2</c:v>
                  </c:pt>
                  <c:pt idx="3">
                    <c:v>0.12284480495439827</c:v>
                  </c:pt>
                  <c:pt idx="4">
                    <c:v>0.23865103041689928</c:v>
                  </c:pt>
                  <c:pt idx="5">
                    <c:v>6.0580432896458411E-2</c:v>
                  </c:pt>
                  <c:pt idx="6">
                    <c:v>7.839934028810365E-2</c:v>
                  </c:pt>
                  <c:pt idx="7">
                    <c:v>3.9101733098132967E-2</c:v>
                  </c:pt>
                  <c:pt idx="8">
                    <c:v>0.21589174676921619</c:v>
                  </c:pt>
                  <c:pt idx="9">
                    <c:v>0.16166979128709788</c:v>
                  </c:pt>
                  <c:pt idx="10">
                    <c:v>0.1223385297747502</c:v>
                  </c:pt>
                  <c:pt idx="11">
                    <c:v>0.14997607781957742</c:v>
                  </c:pt>
                  <c:pt idx="12">
                    <c:v>6.7164416999557677E-2</c:v>
                  </c:pt>
                  <c:pt idx="13">
                    <c:v>8.6288367178952718E-2</c:v>
                  </c:pt>
                  <c:pt idx="14">
                    <c:v>6.1386355404825448E-2</c:v>
                  </c:pt>
                </c:numCache>
              </c:numRef>
            </c:plus>
            <c:minus>
              <c:numRef>
                <c:f>'1%'!$BF$9:$BF$23</c:f>
                <c:numCache>
                  <c:formatCode>General</c:formatCode>
                  <c:ptCount val="15"/>
                  <c:pt idx="0">
                    <c:v>6.6336753758247255E-2</c:v>
                  </c:pt>
                  <c:pt idx="1">
                    <c:v>5.7666790633300338E-2</c:v>
                  </c:pt>
                  <c:pt idx="2">
                    <c:v>5.0784552708759555E-2</c:v>
                  </c:pt>
                  <c:pt idx="3">
                    <c:v>0.12284480495439827</c:v>
                  </c:pt>
                  <c:pt idx="4">
                    <c:v>0.23865103041689928</c:v>
                  </c:pt>
                  <c:pt idx="5">
                    <c:v>6.0580432896458411E-2</c:v>
                  </c:pt>
                  <c:pt idx="6">
                    <c:v>7.839934028810365E-2</c:v>
                  </c:pt>
                  <c:pt idx="7">
                    <c:v>3.9101733098132967E-2</c:v>
                  </c:pt>
                  <c:pt idx="8">
                    <c:v>0.21589174676921619</c:v>
                  </c:pt>
                  <c:pt idx="9">
                    <c:v>0.16166979128709788</c:v>
                  </c:pt>
                  <c:pt idx="10">
                    <c:v>0.1223385297747502</c:v>
                  </c:pt>
                  <c:pt idx="11">
                    <c:v>0.14997607781957742</c:v>
                  </c:pt>
                  <c:pt idx="12">
                    <c:v>6.7164416999557677E-2</c:v>
                  </c:pt>
                  <c:pt idx="13">
                    <c:v>8.6288367178952718E-2</c:v>
                  </c:pt>
                  <c:pt idx="14">
                    <c:v>6.1386355404825448E-2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'1%'!$BD$9:$BD$23</c:f>
              <c:strCache>
                <c:ptCount val="15"/>
                <c:pt idx="0">
                  <c:v>Negative Control</c:v>
                </c:pt>
                <c:pt idx="1">
                  <c:v>Solvent Control</c:v>
                </c:pt>
                <c:pt idx="2">
                  <c:v>new</c:v>
                </c:pt>
                <c:pt idx="3">
                  <c:v>used</c:v>
                </c:pt>
                <c:pt idx="4">
                  <c:v>new</c:v>
                </c:pt>
                <c:pt idx="5">
                  <c:v>used</c:v>
                </c:pt>
                <c:pt idx="6">
                  <c:v>new</c:v>
                </c:pt>
                <c:pt idx="7">
                  <c:v>used</c:v>
                </c:pt>
                <c:pt idx="8">
                  <c:v>new</c:v>
                </c:pt>
                <c:pt idx="9">
                  <c:v>used</c:v>
                </c:pt>
                <c:pt idx="10">
                  <c:v>new</c:v>
                </c:pt>
                <c:pt idx="11">
                  <c:v>used</c:v>
                </c:pt>
                <c:pt idx="12">
                  <c:v>new</c:v>
                </c:pt>
                <c:pt idx="13">
                  <c:v>used</c:v>
                </c:pt>
                <c:pt idx="14">
                  <c:v>Positive Control</c:v>
                </c:pt>
              </c:strCache>
            </c:strRef>
          </c:cat>
          <c:val>
            <c:numRef>
              <c:f>'1%'!$BE$9:$BE$23</c:f>
              <c:numCache>
                <c:formatCode>General</c:formatCode>
                <c:ptCount val="15"/>
                <c:pt idx="0">
                  <c:v>0.98994554877447405</c:v>
                </c:pt>
                <c:pt idx="1">
                  <c:v>1</c:v>
                </c:pt>
                <c:pt idx="2">
                  <c:v>1.0389449880653103</c:v>
                </c:pt>
                <c:pt idx="3">
                  <c:v>1.1193970264118358</c:v>
                </c:pt>
                <c:pt idx="4">
                  <c:v>0.97272525206726479</c:v>
                </c:pt>
                <c:pt idx="5">
                  <c:v>0.9780208111945945</c:v>
                </c:pt>
                <c:pt idx="6">
                  <c:v>0.97740945634816812</c:v>
                </c:pt>
                <c:pt idx="7">
                  <c:v>0.98321944656505345</c:v>
                </c:pt>
                <c:pt idx="8">
                  <c:v>1.060161233010612</c:v>
                </c:pt>
                <c:pt idx="9">
                  <c:v>1.3121732583093593</c:v>
                </c:pt>
                <c:pt idx="10">
                  <c:v>1.0319663781455701</c:v>
                </c:pt>
                <c:pt idx="11">
                  <c:v>1.0178823624943212</c:v>
                </c:pt>
                <c:pt idx="12">
                  <c:v>1.0421761493744703</c:v>
                </c:pt>
                <c:pt idx="13">
                  <c:v>1.0788224716206738</c:v>
                </c:pt>
                <c:pt idx="14">
                  <c:v>1.5820106679346932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C-4C41-92D3-A6D301BDD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1745856"/>
        <c:axId val="1251738368"/>
      </c:barChart>
      <c:catAx>
        <c:axId val="12517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738368"/>
        <c:crosses val="autoZero"/>
        <c:auto val="1"/>
        <c:lblAlgn val="ctr"/>
        <c:lblOffset val="100"/>
        <c:noMultiLvlLbl val="0"/>
      </c:catAx>
      <c:valAx>
        <c:axId val="125173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74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'0,1%'!$AU$10:$AU$16</c:f>
                <c:numCache>
                  <c:formatCode>General</c:formatCode>
                  <c:ptCount val="7"/>
                  <c:pt idx="0">
                    <c:v>3.3307661236247968E-2</c:v>
                  </c:pt>
                  <c:pt idx="1">
                    <c:v>2.9848320262823629E-2</c:v>
                  </c:pt>
                  <c:pt idx="2">
                    <c:v>3.9134555636323495E-2</c:v>
                  </c:pt>
                  <c:pt idx="3">
                    <c:v>9.2515456299854526E-2</c:v>
                  </c:pt>
                  <c:pt idx="4">
                    <c:v>0.14625830029912593</c:v>
                  </c:pt>
                  <c:pt idx="5">
                    <c:v>0.12185773291256112</c:v>
                  </c:pt>
                  <c:pt idx="6">
                    <c:v>5.5012780994589838E-2</c:v>
                  </c:pt>
                </c:numCache>
              </c:numRef>
            </c:plus>
            <c:minus>
              <c:numRef>
                <c:f>'0,1%'!$AU$10:$AU$16</c:f>
                <c:numCache>
                  <c:formatCode>General</c:formatCode>
                  <c:ptCount val="7"/>
                  <c:pt idx="0">
                    <c:v>3.3307661236247968E-2</c:v>
                  </c:pt>
                  <c:pt idx="1">
                    <c:v>2.9848320262823629E-2</c:v>
                  </c:pt>
                  <c:pt idx="2">
                    <c:v>3.9134555636323495E-2</c:v>
                  </c:pt>
                  <c:pt idx="3">
                    <c:v>9.2515456299854526E-2</c:v>
                  </c:pt>
                  <c:pt idx="4">
                    <c:v>0.14625830029912593</c:v>
                  </c:pt>
                  <c:pt idx="5">
                    <c:v>0.12185773291256112</c:v>
                  </c:pt>
                  <c:pt idx="6">
                    <c:v>5.5012780994589838E-2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'0,1%'!$AS$10:$AS$16</c:f>
              <c:strCache>
                <c:ptCount val="7"/>
                <c:pt idx="0">
                  <c:v>Negative Control</c:v>
                </c:pt>
                <c:pt idx="1">
                  <c:v>Solvent Control</c:v>
                </c:pt>
                <c:pt idx="2">
                  <c:v>new</c:v>
                </c:pt>
                <c:pt idx="3">
                  <c:v>used</c:v>
                </c:pt>
                <c:pt idx="4">
                  <c:v>new</c:v>
                </c:pt>
                <c:pt idx="5">
                  <c:v>used</c:v>
                </c:pt>
                <c:pt idx="6">
                  <c:v>Positive Control</c:v>
                </c:pt>
              </c:strCache>
            </c:strRef>
          </c:cat>
          <c:val>
            <c:numRef>
              <c:f>'0,1%'!$AT$10:$AT$16</c:f>
              <c:numCache>
                <c:formatCode>General</c:formatCode>
                <c:ptCount val="7"/>
                <c:pt idx="0">
                  <c:v>1.0213499775956127</c:v>
                </c:pt>
                <c:pt idx="1">
                  <c:v>1</c:v>
                </c:pt>
                <c:pt idx="2">
                  <c:v>1.0130320026393929</c:v>
                </c:pt>
                <c:pt idx="3">
                  <c:v>1.1080984868096049</c:v>
                </c:pt>
                <c:pt idx="4">
                  <c:v>1.0617531334699786</c:v>
                </c:pt>
                <c:pt idx="5">
                  <c:v>1.165359779424173</c:v>
                </c:pt>
                <c:pt idx="6">
                  <c:v>1.5801726725655927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AF-4CAF-A9AF-ED1181034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6488256"/>
        <c:axId val="1406497408"/>
      </c:barChart>
      <c:catAx>
        <c:axId val="140648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497408"/>
        <c:crosses val="autoZero"/>
        <c:auto val="1"/>
        <c:lblAlgn val="ctr"/>
        <c:lblOffset val="100"/>
        <c:noMultiLvlLbl val="0"/>
      </c:catAx>
      <c:valAx>
        <c:axId val="140649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48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735211</xdr:colOff>
      <xdr:row>6</xdr:row>
      <xdr:rowOff>131564</xdr:rowOff>
    </xdr:from>
    <xdr:to>
      <xdr:col>64</xdr:col>
      <xdr:colOff>753070</xdr:colOff>
      <xdr:row>20</xdr:row>
      <xdr:rowOff>166092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765228</xdr:colOff>
      <xdr:row>26</xdr:row>
      <xdr:rowOff>65222</xdr:rowOff>
    </xdr:from>
    <xdr:to>
      <xdr:col>46</xdr:col>
      <xdr:colOff>477864</xdr:colOff>
      <xdr:row>40</xdr:row>
      <xdr:rowOff>96218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7:BF78"/>
  <sheetViews>
    <sheetView topLeftCell="AL1" zoomScale="80" zoomScaleNormal="80" workbookViewId="0">
      <selection activeCell="BA9" sqref="BA9:BA26"/>
    </sheetView>
  </sheetViews>
  <sheetFormatPr baseColWidth="10" defaultRowHeight="15" x14ac:dyDescent="0.25"/>
  <cols>
    <col min="6" max="6" width="22.7109375" bestFit="1" customWidth="1"/>
    <col min="7" max="7" width="26.85546875" bestFit="1" customWidth="1"/>
    <col min="8" max="8" width="27.85546875" bestFit="1" customWidth="1"/>
    <col min="9" max="9" width="17.85546875" bestFit="1" customWidth="1"/>
    <col min="10" max="10" width="19" bestFit="1" customWidth="1"/>
    <col min="11" max="11" width="6.85546875" bestFit="1" customWidth="1"/>
    <col min="16" max="16" width="15.28515625" bestFit="1" customWidth="1"/>
    <col min="17" max="17" width="12.140625" bestFit="1" customWidth="1"/>
    <col min="18" max="18" width="15.7109375" bestFit="1" customWidth="1"/>
    <col min="19" max="19" width="9.28515625" bestFit="1" customWidth="1"/>
    <col min="21" max="21" width="8" style="17" bestFit="1" customWidth="1"/>
    <col min="27" max="27" width="15.28515625" bestFit="1" customWidth="1"/>
    <col min="28" max="28" width="12.140625" bestFit="1" customWidth="1"/>
    <col min="29" max="29" width="15.7109375" bestFit="1" customWidth="1"/>
    <col min="30" max="30" width="9.28515625" bestFit="1" customWidth="1"/>
    <col min="32" max="32" width="15.7109375" style="22" bestFit="1" customWidth="1"/>
    <col min="39" max="39" width="18.85546875" bestFit="1" customWidth="1"/>
    <col min="40" max="40" width="20.42578125" bestFit="1" customWidth="1"/>
    <col min="41" max="41" width="20.42578125" customWidth="1"/>
    <col min="42" max="42" width="20" bestFit="1" customWidth="1"/>
    <col min="43" max="43" width="16.42578125" bestFit="1" customWidth="1"/>
    <col min="45" max="45" width="12.7109375" bestFit="1" customWidth="1"/>
    <col min="47" max="47" width="12.7109375" bestFit="1" customWidth="1"/>
    <col min="53" max="53" width="15.140625" bestFit="1" customWidth="1"/>
    <col min="55" max="55" width="18.140625" bestFit="1" customWidth="1"/>
    <col min="56" max="57" width="16.140625" bestFit="1" customWidth="1"/>
    <col min="58" max="58" width="7.7109375" bestFit="1" customWidth="1"/>
  </cols>
  <sheetData>
    <row r="7" spans="3:58" x14ac:dyDescent="0.25">
      <c r="AL7" s="15"/>
      <c r="AM7" s="15"/>
      <c r="AN7" s="15"/>
      <c r="AO7" s="3" t="s">
        <v>8</v>
      </c>
      <c r="AP7" s="3"/>
      <c r="AQ7" s="15" t="s">
        <v>21</v>
      </c>
      <c r="AR7" s="15"/>
      <c r="AS7" s="15" t="s">
        <v>22</v>
      </c>
      <c r="AT7" s="15"/>
      <c r="AU7" s="15" t="s">
        <v>23</v>
      </c>
      <c r="AV7" s="15"/>
      <c r="AW7" s="15" t="s">
        <v>24</v>
      </c>
      <c r="AX7" s="15"/>
      <c r="AY7" s="3" t="s">
        <v>13</v>
      </c>
      <c r="AZ7" s="3"/>
      <c r="BA7" s="15" t="s">
        <v>6</v>
      </c>
    </row>
    <row r="8" spans="3:58" x14ac:dyDescent="0.25">
      <c r="C8" t="s">
        <v>35</v>
      </c>
      <c r="E8" s="4">
        <v>1</v>
      </c>
      <c r="F8" s="4">
        <v>2</v>
      </c>
      <c r="G8" s="4">
        <v>3</v>
      </c>
      <c r="H8" s="4">
        <v>4</v>
      </c>
      <c r="I8" s="4">
        <v>5</v>
      </c>
      <c r="J8" s="4">
        <v>6</v>
      </c>
      <c r="K8" s="4">
        <v>7</v>
      </c>
      <c r="L8" s="4">
        <v>8</v>
      </c>
      <c r="O8" s="4">
        <v>1</v>
      </c>
      <c r="P8" s="4">
        <v>2</v>
      </c>
      <c r="Q8" s="4">
        <v>3</v>
      </c>
      <c r="R8" s="4">
        <v>4</v>
      </c>
      <c r="S8" s="4">
        <v>5</v>
      </c>
      <c r="T8" s="4">
        <v>6</v>
      </c>
      <c r="U8" s="18">
        <v>7</v>
      </c>
      <c r="V8" s="4">
        <v>8</v>
      </c>
      <c r="Z8" s="4">
        <v>1</v>
      </c>
      <c r="AA8" s="4">
        <v>2</v>
      </c>
      <c r="AB8" s="4">
        <v>3</v>
      </c>
      <c r="AC8" s="4">
        <v>4</v>
      </c>
      <c r="AD8" s="4">
        <v>5</v>
      </c>
      <c r="AE8" s="4">
        <v>6</v>
      </c>
      <c r="AF8" s="23">
        <v>7</v>
      </c>
      <c r="AG8" s="4">
        <v>8</v>
      </c>
      <c r="AH8" s="4"/>
      <c r="AI8" t="s">
        <v>35</v>
      </c>
      <c r="AL8" s="15"/>
      <c r="AM8" s="15" t="s">
        <v>0</v>
      </c>
      <c r="AN8" s="15" t="s">
        <v>1</v>
      </c>
      <c r="AO8" s="3" t="s">
        <v>2</v>
      </c>
      <c r="AP8" s="3" t="s">
        <v>3</v>
      </c>
      <c r="AQ8" s="15" t="s">
        <v>2</v>
      </c>
      <c r="AR8" s="15" t="s">
        <v>3</v>
      </c>
      <c r="AS8" s="15" t="s">
        <v>2</v>
      </c>
      <c r="AT8" s="15" t="s">
        <v>3</v>
      </c>
      <c r="AU8" s="15" t="s">
        <v>2</v>
      </c>
      <c r="AV8" s="15" t="s">
        <v>3</v>
      </c>
      <c r="AW8" s="15" t="s">
        <v>2</v>
      </c>
      <c r="AX8" s="15" t="s">
        <v>3</v>
      </c>
      <c r="AY8" s="3" t="s">
        <v>2</v>
      </c>
      <c r="AZ8" s="3" t="s">
        <v>3</v>
      </c>
      <c r="BA8" s="2"/>
      <c r="BB8" s="2"/>
    </row>
    <row r="9" spans="3:58" x14ac:dyDescent="0.25">
      <c r="D9" s="4" t="s">
        <v>14</v>
      </c>
      <c r="E9" s="5"/>
      <c r="F9" s="6"/>
      <c r="G9" s="6"/>
      <c r="H9" s="6"/>
      <c r="I9" s="6"/>
      <c r="J9" s="6"/>
      <c r="K9" s="6"/>
      <c r="L9" s="7"/>
      <c r="N9" s="4" t="s">
        <v>14</v>
      </c>
      <c r="O9" s="5"/>
      <c r="P9" s="6"/>
      <c r="Q9" s="6"/>
      <c r="R9" s="6"/>
      <c r="S9" s="6"/>
      <c r="T9" s="6"/>
      <c r="U9" s="19"/>
      <c r="V9" s="7"/>
      <c r="Y9" s="4" t="s">
        <v>14</v>
      </c>
      <c r="Z9" s="5"/>
      <c r="AA9" s="6"/>
      <c r="AB9" s="6"/>
      <c r="AC9" s="6"/>
      <c r="AD9" s="6"/>
      <c r="AE9" s="6"/>
      <c r="AF9" s="24"/>
      <c r="AG9" s="7"/>
      <c r="AH9" s="1"/>
      <c r="AL9" s="15">
        <v>1</v>
      </c>
      <c r="AM9" s="15">
        <f>AA13</f>
        <v>1.0550973767885532</v>
      </c>
      <c r="AN9" s="15">
        <f>AA10</f>
        <v>1.0439189189189189</v>
      </c>
      <c r="AO9" s="15">
        <f t="shared" ref="AO9:AP11" si="0">AB58</f>
        <v>1.1259277585353786</v>
      </c>
      <c r="AP9" s="15">
        <f t="shared" si="0"/>
        <v>1.4868876793666501</v>
      </c>
      <c r="AQ9" s="13">
        <f>AB10</f>
        <v>1.4239864864864866</v>
      </c>
      <c r="AR9" s="13">
        <f t="shared" ref="AR9:AT11" si="1">AC10</f>
        <v>0.90083465818759945</v>
      </c>
      <c r="AS9" s="13">
        <f t="shared" si="1"/>
        <v>1.0257352941176472</v>
      </c>
      <c r="AT9" s="13">
        <f t="shared" si="1"/>
        <v>1.0439189189189189</v>
      </c>
      <c r="AU9" s="13">
        <f>AB34</f>
        <v>1.2354723587637197</v>
      </c>
      <c r="AV9" s="13">
        <f t="shared" ref="AV9:AX11" si="2">AC34</f>
        <v>1.4378829708437144</v>
      </c>
      <c r="AW9" s="13">
        <f t="shared" si="2"/>
        <v>0.82438893003838132</v>
      </c>
      <c r="AX9" s="13">
        <f t="shared" si="2"/>
        <v>0.91488788633762042</v>
      </c>
      <c r="AY9" s="15">
        <f>AD58</f>
        <v>1.0843641761504206</v>
      </c>
      <c r="AZ9" s="15">
        <f>AE58</f>
        <v>1.0484908461157842</v>
      </c>
      <c r="BA9" s="15">
        <f>AF10</f>
        <v>1.6132750397456281</v>
      </c>
      <c r="BD9" t="s">
        <v>0</v>
      </c>
      <c r="BE9">
        <f>AM39</f>
        <v>0.98994554877447405</v>
      </c>
      <c r="BF9">
        <f>AM40</f>
        <v>6.6336753758247255E-2</v>
      </c>
    </row>
    <row r="10" spans="3:58" x14ac:dyDescent="0.25">
      <c r="D10" s="4" t="s">
        <v>15</v>
      </c>
      <c r="E10" s="8"/>
      <c r="F10" s="1" t="s">
        <v>33</v>
      </c>
      <c r="G10" s="1" t="s">
        <v>25</v>
      </c>
      <c r="H10" s="1" t="s">
        <v>26</v>
      </c>
      <c r="I10" s="1" t="s">
        <v>27</v>
      </c>
      <c r="J10" s="1" t="s">
        <v>28</v>
      </c>
      <c r="K10" s="1" t="s">
        <v>16</v>
      </c>
      <c r="L10" s="9"/>
      <c r="N10" s="4" t="s">
        <v>15</v>
      </c>
      <c r="O10" s="8"/>
      <c r="P10" s="1">
        <v>7004</v>
      </c>
      <c r="Q10" s="1">
        <v>9554</v>
      </c>
      <c r="R10" s="1">
        <v>6044</v>
      </c>
      <c r="S10" s="1">
        <v>6882</v>
      </c>
      <c r="T10" s="1">
        <v>7004</v>
      </c>
      <c r="U10" s="20">
        <v>10824</v>
      </c>
      <c r="V10" s="9"/>
      <c r="W10">
        <f>AVERAGE(P10:P12)</f>
        <v>6709.333333333333</v>
      </c>
      <c r="Y10" s="4" t="s">
        <v>15</v>
      </c>
      <c r="Z10" s="8"/>
      <c r="AA10" s="13">
        <f>P10*1/$W$10</f>
        <v>1.0439189189189189</v>
      </c>
      <c r="AB10" s="13">
        <f t="shared" ref="AB10:AF10" si="3">Q10*1/$W$10</f>
        <v>1.4239864864864866</v>
      </c>
      <c r="AC10" s="13">
        <f t="shared" si="3"/>
        <v>0.90083465818759945</v>
      </c>
      <c r="AD10" s="13">
        <f t="shared" si="3"/>
        <v>1.0257352941176472</v>
      </c>
      <c r="AE10" s="13">
        <f t="shared" si="3"/>
        <v>1.0439189189189189</v>
      </c>
      <c r="AF10" s="13">
        <f t="shared" si="3"/>
        <v>1.6132750397456281</v>
      </c>
      <c r="AG10" s="9"/>
      <c r="AH10" s="1"/>
      <c r="AL10" s="15">
        <v>2</v>
      </c>
      <c r="AM10" s="15">
        <f>AB13</f>
        <v>1.0439189189189189</v>
      </c>
      <c r="AN10" s="15">
        <f>AA11</f>
        <v>0.99995031796502387</v>
      </c>
      <c r="AO10" s="15">
        <f t="shared" si="0"/>
        <v>1.091044037605146</v>
      </c>
      <c r="AP10" s="15">
        <f t="shared" si="0"/>
        <v>1.0804057397328055</v>
      </c>
      <c r="AQ10" s="13">
        <f t="shared" ref="AQ10:AQ11" si="4">AB11</f>
        <v>0.94688990461049294</v>
      </c>
      <c r="AR10" s="13">
        <f t="shared" si="1"/>
        <v>0.88906001589825123</v>
      </c>
      <c r="AS10" s="13">
        <f t="shared" si="1"/>
        <v>0.99950317965023849</v>
      </c>
      <c r="AT10" s="13">
        <f t="shared" si="1"/>
        <v>0.95613076311605727</v>
      </c>
      <c r="AU10" s="13">
        <f t="shared" ref="AU10:AU11" si="5">AB35</f>
        <v>0.80499629654568716</v>
      </c>
      <c r="AV10" s="13">
        <f t="shared" si="2"/>
        <v>1.4013197764460306</v>
      </c>
      <c r="AW10" s="13">
        <f t="shared" si="2"/>
        <v>0.97064170762911595</v>
      </c>
      <c r="AX10" s="13">
        <f t="shared" si="2"/>
        <v>0.93165443404484549</v>
      </c>
      <c r="AY10" s="15">
        <f t="shared" ref="AY10:AZ11" si="6">AD59</f>
        <v>0.98391885205343887</v>
      </c>
      <c r="AZ10" s="15">
        <f t="shared" si="6"/>
        <v>1.0237506185056902</v>
      </c>
      <c r="BA10" s="15">
        <f>AF11</f>
        <v>1.4239864864864866</v>
      </c>
      <c r="BC10" s="3"/>
      <c r="BD10" s="3" t="s">
        <v>1</v>
      </c>
      <c r="BE10">
        <f>AN39</f>
        <v>1</v>
      </c>
      <c r="BF10">
        <f>AN40</f>
        <v>5.7666790633300338E-2</v>
      </c>
    </row>
    <row r="11" spans="3:58" x14ac:dyDescent="0.25">
      <c r="D11" s="4" t="s">
        <v>17</v>
      </c>
      <c r="E11" s="8"/>
      <c r="F11" s="1" t="s">
        <v>33</v>
      </c>
      <c r="G11" s="1" t="s">
        <v>25</v>
      </c>
      <c r="H11" s="1" t="s">
        <v>26</v>
      </c>
      <c r="I11" s="1" t="s">
        <v>27</v>
      </c>
      <c r="J11" s="1" t="s">
        <v>28</v>
      </c>
      <c r="K11" s="1" t="s">
        <v>16</v>
      </c>
      <c r="L11" s="9"/>
      <c r="N11" s="4" t="s">
        <v>17</v>
      </c>
      <c r="O11" s="8"/>
      <c r="P11" s="1">
        <v>6709</v>
      </c>
      <c r="Q11" s="1">
        <v>6353</v>
      </c>
      <c r="R11" s="1">
        <v>5965</v>
      </c>
      <c r="S11" s="1">
        <v>6706</v>
      </c>
      <c r="T11" s="1">
        <v>6415</v>
      </c>
      <c r="U11" s="20">
        <v>9554</v>
      </c>
      <c r="V11" s="9"/>
      <c r="Y11" s="4" t="s">
        <v>17</v>
      </c>
      <c r="Z11" s="8"/>
      <c r="AA11" s="13">
        <f t="shared" ref="AA11:AA13" si="7">P11*1/$W$10</f>
        <v>0.99995031796502387</v>
      </c>
      <c r="AB11" s="13">
        <f t="shared" ref="AB11:AB13" si="8">Q11*1/$W$10</f>
        <v>0.94688990461049294</v>
      </c>
      <c r="AC11" s="13">
        <f t="shared" ref="AC11:AC13" si="9">R11*1/$W$10</f>
        <v>0.88906001589825123</v>
      </c>
      <c r="AD11" s="13">
        <f t="shared" ref="AD11:AD13" si="10">S11*1/$W$10</f>
        <v>0.99950317965023849</v>
      </c>
      <c r="AE11" s="13">
        <f t="shared" ref="AE11:AE13" si="11">T11*1/$W$10</f>
        <v>0.95613076311605727</v>
      </c>
      <c r="AF11" s="13">
        <f t="shared" ref="AF11:AF13" si="12">U11*1/$W$10</f>
        <v>1.4239864864864866</v>
      </c>
      <c r="AG11" s="9"/>
      <c r="AH11" s="1"/>
      <c r="AL11" s="15">
        <v>3</v>
      </c>
      <c r="AM11" s="15">
        <f>AC13</f>
        <v>1.0495826709062004</v>
      </c>
      <c r="AN11" s="15">
        <f>AA12</f>
        <v>0.95613076311605727</v>
      </c>
      <c r="AO11" s="15">
        <f t="shared" si="0"/>
        <v>0.9205838693715982</v>
      </c>
      <c r="AP11" s="15">
        <f t="shared" si="0"/>
        <v>1.0294408708560119</v>
      </c>
      <c r="AQ11" s="13">
        <f t="shared" si="4"/>
        <v>0.66683227344992058</v>
      </c>
      <c r="AR11" s="13">
        <f t="shared" si="1"/>
        <v>0.88294912559618444</v>
      </c>
      <c r="AS11" s="13">
        <f t="shared" si="1"/>
        <v>0.90918124006359302</v>
      </c>
      <c r="AT11" s="13">
        <f t="shared" si="1"/>
        <v>0.94688990461049294</v>
      </c>
      <c r="AU11" s="13">
        <f t="shared" si="5"/>
        <v>0.78338159046528855</v>
      </c>
      <c r="AV11" s="13">
        <f t="shared" si="2"/>
        <v>1.6792808565079793</v>
      </c>
      <c r="AW11" s="13">
        <f t="shared" si="2"/>
        <v>0.93670459901690128</v>
      </c>
      <c r="AX11" s="13">
        <f t="shared" si="2"/>
        <v>0.80499629654568716</v>
      </c>
      <c r="AY11" s="15">
        <f t="shared" si="6"/>
        <v>0.99480455220188024</v>
      </c>
      <c r="AZ11" s="15">
        <f t="shared" si="6"/>
        <v>0.98095002474022763</v>
      </c>
      <c r="BA11" s="15">
        <f>AF18</f>
        <v>1.6881681627497858</v>
      </c>
      <c r="BC11" s="3" t="s">
        <v>8</v>
      </c>
      <c r="BD11" s="3" t="s">
        <v>2</v>
      </c>
      <c r="BE11">
        <f>AO39</f>
        <v>1.0389449880653103</v>
      </c>
      <c r="BF11">
        <f>AO40</f>
        <v>5.0784552708759555E-2</v>
      </c>
    </row>
    <row r="12" spans="3:58" x14ac:dyDescent="0.25">
      <c r="D12" s="4" t="s">
        <v>18</v>
      </c>
      <c r="E12" s="8"/>
      <c r="F12" s="1" t="s">
        <v>33</v>
      </c>
      <c r="G12" s="1" t="s">
        <v>25</v>
      </c>
      <c r="H12" s="1" t="s">
        <v>26</v>
      </c>
      <c r="I12" s="1" t="s">
        <v>27</v>
      </c>
      <c r="J12" s="1" t="s">
        <v>28</v>
      </c>
      <c r="K12" s="1"/>
      <c r="L12" s="9"/>
      <c r="N12" s="4" t="s">
        <v>18</v>
      </c>
      <c r="O12" s="8"/>
      <c r="P12" s="1">
        <v>6415</v>
      </c>
      <c r="Q12" s="1">
        <v>4474</v>
      </c>
      <c r="R12" s="1">
        <v>5924</v>
      </c>
      <c r="S12" s="1">
        <v>6100</v>
      </c>
      <c r="T12" s="1">
        <v>6353</v>
      </c>
      <c r="U12" s="20"/>
      <c r="V12" s="9"/>
      <c r="Y12" s="4" t="s">
        <v>18</v>
      </c>
      <c r="Z12" s="8"/>
      <c r="AA12" s="13">
        <f t="shared" si="7"/>
        <v>0.95613076311605727</v>
      </c>
      <c r="AB12" s="13">
        <f t="shared" si="8"/>
        <v>0.66683227344992058</v>
      </c>
      <c r="AC12" s="13">
        <f t="shared" si="9"/>
        <v>0.88294912559618444</v>
      </c>
      <c r="AD12" s="13">
        <f t="shared" si="10"/>
        <v>0.90918124006359302</v>
      </c>
      <c r="AE12" s="13">
        <f t="shared" si="11"/>
        <v>0.94688990461049294</v>
      </c>
      <c r="AF12" s="13">
        <f t="shared" si="12"/>
        <v>0</v>
      </c>
      <c r="AG12" s="9"/>
      <c r="AH12" s="1"/>
      <c r="AL12" s="15">
        <v>4</v>
      </c>
      <c r="AM12" s="15">
        <f>AA21</f>
        <v>0.9907077450493933</v>
      </c>
      <c r="AN12" s="15">
        <f>AA18</f>
        <v>1.0513329423970408</v>
      </c>
      <c r="AO12" s="15">
        <f t="shared" ref="AO12:AP14" si="13">AB66</f>
        <v>1.0671725855220253</v>
      </c>
      <c r="AP12" s="15">
        <f t="shared" si="13"/>
        <v>1.2649552380387741</v>
      </c>
      <c r="AQ12" s="15">
        <f>AB18</f>
        <v>0.95295232080833592</v>
      </c>
      <c r="AR12" s="15">
        <f t="shared" ref="AR12:AT14" si="14">AC18</f>
        <v>1.108033740809238</v>
      </c>
      <c r="AS12" s="15">
        <f t="shared" si="14"/>
        <v>1.030493030808787</v>
      </c>
      <c r="AT12" s="15">
        <f t="shared" si="14"/>
        <v>1.0513329423970408</v>
      </c>
      <c r="AU12" s="15">
        <f>AB42</f>
        <v>1.2036170076316295</v>
      </c>
      <c r="AV12" s="15">
        <f t="shared" ref="AV12:AX14" si="15">AC42</f>
        <v>1.362149682549862</v>
      </c>
      <c r="AW12" s="15">
        <f t="shared" si="15"/>
        <v>0.93869043801705887</v>
      </c>
      <c r="AX12" s="15">
        <f t="shared" si="15"/>
        <v>0.96870390559866604</v>
      </c>
      <c r="AY12" s="15">
        <f>AD66</f>
        <v>1.0403154087863877</v>
      </c>
      <c r="AZ12" s="15">
        <f>AE66</f>
        <v>1.0102567142941841</v>
      </c>
      <c r="BA12" s="15">
        <f>AF19</f>
        <v>1.6749064008299877</v>
      </c>
      <c r="BC12" s="3"/>
      <c r="BD12" s="3" t="s">
        <v>3</v>
      </c>
      <c r="BE12">
        <f>AP39</f>
        <v>1.1193970264118358</v>
      </c>
      <c r="BF12">
        <f>AP40</f>
        <v>0.12284480495439827</v>
      </c>
    </row>
    <row r="13" spans="3:58" x14ac:dyDescent="0.25">
      <c r="D13" s="4" t="s">
        <v>19</v>
      </c>
      <c r="E13" s="8"/>
      <c r="F13" s="1" t="s">
        <v>34</v>
      </c>
      <c r="G13" s="1" t="s">
        <v>34</v>
      </c>
      <c r="H13" s="1" t="s">
        <v>34</v>
      </c>
      <c r="I13" s="1"/>
      <c r="J13" s="1"/>
      <c r="K13" s="1"/>
      <c r="L13" s="9"/>
      <c r="N13" s="4" t="s">
        <v>19</v>
      </c>
      <c r="O13" s="8"/>
      <c r="P13">
        <v>7079</v>
      </c>
      <c r="Q13" s="1">
        <v>7004</v>
      </c>
      <c r="R13">
        <v>7042</v>
      </c>
      <c r="S13" s="1"/>
      <c r="T13" s="1"/>
      <c r="U13" s="20"/>
      <c r="V13" s="9"/>
      <c r="Y13" s="4" t="s">
        <v>19</v>
      </c>
      <c r="Z13" s="8"/>
      <c r="AA13" s="13">
        <f t="shared" si="7"/>
        <v>1.0550973767885532</v>
      </c>
      <c r="AB13" s="13">
        <f t="shared" si="8"/>
        <v>1.0439189189189189</v>
      </c>
      <c r="AC13" s="13">
        <f t="shared" si="9"/>
        <v>1.0495826709062004</v>
      </c>
      <c r="AD13" s="13">
        <f t="shared" si="10"/>
        <v>0</v>
      </c>
      <c r="AE13" s="13">
        <f t="shared" si="11"/>
        <v>0</v>
      </c>
      <c r="AF13" s="13">
        <f t="shared" si="12"/>
        <v>0</v>
      </c>
      <c r="AG13" s="9"/>
      <c r="AH13" s="1"/>
      <c r="AL13" s="15">
        <v>5</v>
      </c>
      <c r="AM13" s="15">
        <f>AB21</f>
        <v>0.95295232080833592</v>
      </c>
      <c r="AN13" s="15">
        <f>AA19</f>
        <v>0.9907077450493933</v>
      </c>
      <c r="AO13" s="15">
        <f t="shared" si="13"/>
        <v>1.01167961107488</v>
      </c>
      <c r="AP13" s="15">
        <f t="shared" si="13"/>
        <v>1.0751763799134404</v>
      </c>
      <c r="AQ13" s="15">
        <f t="shared" ref="AQ13:AQ14" si="16">AB19</f>
        <v>0.92940592719563353</v>
      </c>
      <c r="AR13" s="15">
        <f t="shared" si="14"/>
        <v>1.0451080337408092</v>
      </c>
      <c r="AS13" s="15">
        <f t="shared" si="14"/>
        <v>0.89395101267535748</v>
      </c>
      <c r="AT13" s="15">
        <f t="shared" si="14"/>
        <v>0.9579593125535657</v>
      </c>
      <c r="AU13" s="15">
        <f t="shared" ref="AU13:AU14" si="17">AB43</f>
        <v>0.91733470146860763</v>
      </c>
      <c r="AV13" s="15">
        <f t="shared" si="15"/>
        <v>1.276341948310139</v>
      </c>
      <c r="AW13" s="15">
        <f t="shared" si="15"/>
        <v>0.93888283204001788</v>
      </c>
      <c r="AX13" s="15">
        <f t="shared" si="15"/>
        <v>0.89482460078240234</v>
      </c>
      <c r="AY13" s="15">
        <f t="shared" ref="AY13:AZ14" si="18">AD67</f>
        <v>0.94925001482184157</v>
      </c>
      <c r="AZ13" s="15">
        <f t="shared" si="18"/>
        <v>1.2066164700302366</v>
      </c>
      <c r="BA13" s="15">
        <f>AF26</f>
        <v>1.6970622796709753</v>
      </c>
      <c r="BC13" s="3" t="s">
        <v>9</v>
      </c>
      <c r="BD13" s="3" t="s">
        <v>2</v>
      </c>
      <c r="BE13">
        <f>AQ39</f>
        <v>0.97272525206726479</v>
      </c>
      <c r="BF13">
        <f>AQ40</f>
        <v>0.23865103041689928</v>
      </c>
    </row>
    <row r="14" spans="3:58" x14ac:dyDescent="0.25">
      <c r="D14" s="4" t="s">
        <v>20</v>
      </c>
      <c r="E14" s="10"/>
      <c r="F14" s="11"/>
      <c r="G14" s="11"/>
      <c r="H14" s="11"/>
      <c r="I14" s="11"/>
      <c r="J14" s="11"/>
      <c r="K14" s="11"/>
      <c r="L14" s="12"/>
      <c r="N14" s="4" t="s">
        <v>20</v>
      </c>
      <c r="O14" s="10"/>
      <c r="P14" s="11"/>
      <c r="Q14" s="11"/>
      <c r="R14" s="11"/>
      <c r="S14" s="11"/>
      <c r="T14" s="11"/>
      <c r="U14" s="21"/>
      <c r="V14" s="12"/>
      <c r="Y14" s="4" t="s">
        <v>20</v>
      </c>
      <c r="Z14" s="10"/>
      <c r="AA14" s="11"/>
      <c r="AB14" s="11"/>
      <c r="AC14" s="11"/>
      <c r="AD14" s="11"/>
      <c r="AE14" s="11"/>
      <c r="AF14" s="25"/>
      <c r="AG14" s="12"/>
      <c r="AH14" s="1"/>
      <c r="AL14" s="15">
        <v>6</v>
      </c>
      <c r="AM14" s="15">
        <f>AC21</f>
        <v>0.64860841715909601</v>
      </c>
      <c r="AN14" s="15">
        <f>AA20</f>
        <v>0.9579593125535657</v>
      </c>
      <c r="AO14" s="15">
        <f t="shared" si="13"/>
        <v>1.0276871998577104</v>
      </c>
      <c r="AP14" s="15">
        <f t="shared" si="13"/>
        <v>1.0655718266437422</v>
      </c>
      <c r="AQ14" s="15">
        <f t="shared" si="16"/>
        <v>0.64860841715909601</v>
      </c>
      <c r="AR14" s="15">
        <f t="shared" si="14"/>
        <v>1.0204790473183274</v>
      </c>
      <c r="AS14" s="15">
        <f t="shared" si="14"/>
        <v>0.8633677657990888</v>
      </c>
      <c r="AT14" s="15">
        <f t="shared" si="14"/>
        <v>0.92940592719563353</v>
      </c>
      <c r="AU14" s="15">
        <f t="shared" si="17"/>
        <v>0.76341948310139163</v>
      </c>
      <c r="AV14" s="15">
        <f t="shared" si="15"/>
        <v>1.4077470659911497</v>
      </c>
      <c r="AW14" s="15">
        <f t="shared" si="15"/>
        <v>1.036811389726159</v>
      </c>
      <c r="AX14" s="15">
        <f t="shared" si="15"/>
        <v>0.91733470146860763</v>
      </c>
      <c r="AY14" s="15">
        <f t="shared" si="18"/>
        <v>1.2069721942254106</v>
      </c>
      <c r="AZ14" s="15">
        <f t="shared" si="18"/>
        <v>1.1306693543605859</v>
      </c>
      <c r="BA14" s="15">
        <f>AF27</f>
        <v>1.5953936545240892</v>
      </c>
      <c r="BC14" s="3"/>
      <c r="BD14" s="3" t="s">
        <v>3</v>
      </c>
      <c r="BE14">
        <f>AR39</f>
        <v>0.9780208111945945</v>
      </c>
      <c r="BF14">
        <f>AR40</f>
        <v>6.0580432896458411E-2</v>
      </c>
    </row>
    <row r="15" spans="3:58" x14ac:dyDescent="0.25">
      <c r="AL15" s="15">
        <v>7</v>
      </c>
      <c r="AM15" s="15">
        <f>AA29</f>
        <v>1.0484136310223267</v>
      </c>
      <c r="AN15" s="15">
        <f>AA26</f>
        <v>1.030364277320799</v>
      </c>
      <c r="AO15" s="15">
        <f>AB74</f>
        <v>1.1001660577881103</v>
      </c>
      <c r="AP15" s="15">
        <f>AC74</f>
        <v>1.1591497841248755</v>
      </c>
      <c r="AQ15" s="15">
        <f>AB26</f>
        <v>1.5953936545240892</v>
      </c>
      <c r="AR15" s="15">
        <f t="shared" ref="AR15:AT17" si="19">AC26</f>
        <v>1.0041363102232668</v>
      </c>
      <c r="AS15" s="15">
        <f t="shared" si="19"/>
        <v>1.0127379553466509</v>
      </c>
      <c r="AT15" s="15">
        <f t="shared" si="19"/>
        <v>1.030364277320799</v>
      </c>
      <c r="AU15" s="15">
        <f>AB50</f>
        <v>1.1110972878825578</v>
      </c>
      <c r="AV15" s="15">
        <f t="shared" ref="AV15:AX17" si="20">AC50</f>
        <v>1.1405822343866632</v>
      </c>
      <c r="AW15" s="15">
        <f t="shared" si="20"/>
        <v>1.1125901965663099</v>
      </c>
      <c r="AX15" s="15">
        <f t="shared" si="20"/>
        <v>1.0474620552376213</v>
      </c>
      <c r="AY15" s="15">
        <f>AD74</f>
        <v>1.0545333776154102</v>
      </c>
      <c r="AZ15" s="15">
        <f>AE74</f>
        <v>1.0051145798737962</v>
      </c>
      <c r="BA15" s="15">
        <f>AF34</f>
        <v>1.6461517742912937</v>
      </c>
      <c r="BC15" s="3" t="s">
        <v>10</v>
      </c>
      <c r="BD15" s="3" t="s">
        <v>2</v>
      </c>
      <c r="BE15">
        <f>AS39</f>
        <v>0.97740945634816812</v>
      </c>
      <c r="BF15">
        <f>AS40</f>
        <v>7.839934028810365E-2</v>
      </c>
    </row>
    <row r="16" spans="3:58" x14ac:dyDescent="0.25">
      <c r="C16" t="s">
        <v>36</v>
      </c>
      <c r="E16" s="4">
        <v>1</v>
      </c>
      <c r="F16" s="4">
        <v>2</v>
      </c>
      <c r="G16" s="4">
        <v>3</v>
      </c>
      <c r="H16" s="4">
        <v>4</v>
      </c>
      <c r="I16" s="4">
        <v>5</v>
      </c>
      <c r="J16" s="4">
        <v>6</v>
      </c>
      <c r="K16" s="4">
        <v>7</v>
      </c>
      <c r="L16" s="4">
        <v>8</v>
      </c>
      <c r="O16" s="4">
        <v>1</v>
      </c>
      <c r="P16" s="4">
        <v>2</v>
      </c>
      <c r="Q16" s="4">
        <v>3</v>
      </c>
      <c r="R16" s="4">
        <v>4</v>
      </c>
      <c r="S16" s="4">
        <v>5</v>
      </c>
      <c r="T16" s="4">
        <v>6</v>
      </c>
      <c r="U16" s="18">
        <v>7</v>
      </c>
      <c r="V16" s="4">
        <v>8</v>
      </c>
      <c r="Z16" s="4">
        <v>1</v>
      </c>
      <c r="AA16" s="4">
        <v>2</v>
      </c>
      <c r="AB16" s="4">
        <v>3</v>
      </c>
      <c r="AC16" s="4">
        <v>4</v>
      </c>
      <c r="AD16" s="4">
        <v>5</v>
      </c>
      <c r="AE16" s="4">
        <v>6</v>
      </c>
      <c r="AF16" s="23">
        <v>7</v>
      </c>
      <c r="AG16" s="4">
        <v>8</v>
      </c>
      <c r="AH16" s="4"/>
      <c r="AI16" t="s">
        <v>36</v>
      </c>
      <c r="AL16" s="15">
        <v>8</v>
      </c>
      <c r="AM16" s="15">
        <f>AB29</f>
        <v>0.98397179788484135</v>
      </c>
      <c r="AN16" s="15">
        <f>AA27</f>
        <v>0.99990599294947113</v>
      </c>
      <c r="AO16" s="15">
        <f t="shared" ref="AO16:AP17" si="21">AB75</f>
        <v>1.0334108269677849</v>
      </c>
      <c r="AP16" s="15">
        <f t="shared" si="21"/>
        <v>1.0262371305214215</v>
      </c>
      <c r="AQ16" s="15">
        <f t="shared" ref="AQ16:AQ17" si="22">AB27</f>
        <v>0.96324324324324317</v>
      </c>
      <c r="AR16" s="15">
        <f t="shared" si="19"/>
        <v>0.96662749706227968</v>
      </c>
      <c r="AS16" s="15">
        <f t="shared" si="19"/>
        <v>0.89034077555816682</v>
      </c>
      <c r="AT16" s="15">
        <f t="shared" si="19"/>
        <v>0.96972972972972971</v>
      </c>
      <c r="AU16" s="15">
        <f t="shared" ref="AU16:AU17" si="23">AB51</f>
        <v>1.5289251057476982</v>
      </c>
      <c r="AV16" s="15">
        <f t="shared" si="20"/>
        <v>1.0286140831052499</v>
      </c>
      <c r="AW16" s="15">
        <f t="shared" si="20"/>
        <v>1.1989922866384672</v>
      </c>
      <c r="AX16" s="15">
        <f t="shared" si="20"/>
        <v>1.1521522766857426</v>
      </c>
      <c r="AY16" s="15">
        <f t="shared" ref="AY16:AZ17" si="24">AD75</f>
        <v>0.94035204251079385</v>
      </c>
      <c r="AZ16" s="15">
        <f t="shared" si="24"/>
        <v>1.2874792427764863</v>
      </c>
      <c r="BA16" s="15">
        <f>AF35</f>
        <v>1.5184836037977241</v>
      </c>
      <c r="BC16" s="3"/>
      <c r="BD16" s="3" t="s">
        <v>3</v>
      </c>
      <c r="BE16">
        <f>AT39</f>
        <v>0.98321944656505345</v>
      </c>
      <c r="BF16">
        <f>AT40</f>
        <v>3.9101733098132967E-2</v>
      </c>
    </row>
    <row r="17" spans="3:58" x14ac:dyDescent="0.25">
      <c r="D17" s="4" t="s">
        <v>14</v>
      </c>
      <c r="E17" s="5"/>
      <c r="F17" s="6"/>
      <c r="G17" s="6"/>
      <c r="H17" s="6"/>
      <c r="I17" s="6"/>
      <c r="J17" s="6"/>
      <c r="K17" s="6"/>
      <c r="L17" s="7"/>
      <c r="N17" s="4" t="s">
        <v>14</v>
      </c>
      <c r="O17" s="5"/>
      <c r="P17" s="6"/>
      <c r="Q17" s="6"/>
      <c r="R17" s="6"/>
      <c r="S17" s="6"/>
      <c r="T17" s="6"/>
      <c r="U17" s="19"/>
      <c r="V17" s="7"/>
      <c r="Y17" s="4" t="s">
        <v>14</v>
      </c>
      <c r="Z17" s="5"/>
      <c r="AA17" s="6"/>
      <c r="AB17" s="6"/>
      <c r="AC17" s="6"/>
      <c r="AD17" s="6"/>
      <c r="AE17" s="6"/>
      <c r="AF17" s="24"/>
      <c r="AG17" s="7"/>
      <c r="AH17" s="1"/>
      <c r="AL17" s="15">
        <v>9</v>
      </c>
      <c r="AM17" s="15">
        <f>AC29</f>
        <v>1.0512338425381904</v>
      </c>
      <c r="AN17" s="15">
        <f>AA28</f>
        <v>0.96972972972972971</v>
      </c>
      <c r="AO17" s="15">
        <f t="shared" si="21"/>
        <v>0.97283294586516111</v>
      </c>
      <c r="AP17" s="15">
        <f t="shared" si="21"/>
        <v>0.88674858850880112</v>
      </c>
      <c r="AQ17" s="15">
        <f t="shared" si="22"/>
        <v>0.62721504112808457</v>
      </c>
      <c r="AR17" s="15">
        <f t="shared" si="19"/>
        <v>0.98495887191539366</v>
      </c>
      <c r="AS17" s="15">
        <f t="shared" si="19"/>
        <v>1.1713748531139836</v>
      </c>
      <c r="AT17" s="15">
        <f t="shared" si="19"/>
        <v>0.96324324324324317</v>
      </c>
      <c r="AU17" s="15">
        <f t="shared" si="23"/>
        <v>1.1932072654889274</v>
      </c>
      <c r="AV17" s="15">
        <f t="shared" si="20"/>
        <v>1.0756407066434437</v>
      </c>
      <c r="AW17" s="15">
        <f t="shared" si="20"/>
        <v>1.3299950236377207</v>
      </c>
      <c r="AX17" s="15">
        <f t="shared" si="20"/>
        <v>1.5289251057476982</v>
      </c>
      <c r="AY17" s="15">
        <f t="shared" si="24"/>
        <v>1.1250747260046496</v>
      </c>
      <c r="AZ17" s="15">
        <f t="shared" si="24"/>
        <v>1.0160743938890735</v>
      </c>
      <c r="BA17" s="15">
        <f>AF42</f>
        <v>1.6070672737766947</v>
      </c>
      <c r="BC17" s="3" t="s">
        <v>11</v>
      </c>
      <c r="BD17" s="3" t="s">
        <v>2</v>
      </c>
      <c r="BE17">
        <f>AU39</f>
        <v>1.060161233010612</v>
      </c>
      <c r="BF17">
        <f>AU40</f>
        <v>0.21589174676921619</v>
      </c>
    </row>
    <row r="18" spans="3:58" x14ac:dyDescent="0.25">
      <c r="D18" s="4" t="s">
        <v>15</v>
      </c>
      <c r="E18" s="8"/>
      <c r="F18" s="1" t="s">
        <v>33</v>
      </c>
      <c r="G18" s="1" t="s">
        <v>25</v>
      </c>
      <c r="H18" s="1" t="s">
        <v>26</v>
      </c>
      <c r="I18" s="1" t="s">
        <v>27</v>
      </c>
      <c r="J18" s="1" t="s">
        <v>28</v>
      </c>
      <c r="K18" s="1" t="s">
        <v>16</v>
      </c>
      <c r="L18" s="9"/>
      <c r="N18" s="4" t="s">
        <v>15</v>
      </c>
      <c r="O18" s="8"/>
      <c r="P18">
        <v>7769</v>
      </c>
      <c r="Q18">
        <v>7042</v>
      </c>
      <c r="R18">
        <v>8188</v>
      </c>
      <c r="S18">
        <v>7615</v>
      </c>
      <c r="T18">
        <v>7769</v>
      </c>
      <c r="U18" s="17">
        <v>12475</v>
      </c>
      <c r="V18" s="9"/>
      <c r="W18">
        <f>AVERAGE(P18:P20)</f>
        <v>7389.666666666667</v>
      </c>
      <c r="Y18" s="4" t="s">
        <v>15</v>
      </c>
      <c r="Z18" s="8"/>
      <c r="AA18" s="1">
        <f>P18*1/$W$18</f>
        <v>1.0513329423970408</v>
      </c>
      <c r="AB18" s="1">
        <f t="shared" ref="AB18:AF18" si="25">Q18*1/$W$18</f>
        <v>0.95295232080833592</v>
      </c>
      <c r="AC18" s="1">
        <f t="shared" si="25"/>
        <v>1.108033740809238</v>
      </c>
      <c r="AD18" s="1">
        <f t="shared" si="25"/>
        <v>1.030493030808787</v>
      </c>
      <c r="AE18" s="1">
        <f t="shared" si="25"/>
        <v>1.0513329423970408</v>
      </c>
      <c r="AF18" s="1">
        <f t="shared" si="25"/>
        <v>1.6881681627497858</v>
      </c>
      <c r="AG18" s="9"/>
      <c r="AH18" s="1"/>
      <c r="AL18" s="15">
        <v>10</v>
      </c>
      <c r="AM18" s="15">
        <f>AA37</f>
        <v>0.99064036091845675</v>
      </c>
      <c r="AN18" s="15">
        <f>AA34</f>
        <v>0.91488788633762042</v>
      </c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>
        <f>AF43</f>
        <v>1.6070672737766947</v>
      </c>
      <c r="BC18" s="3"/>
      <c r="BD18" s="3" t="s">
        <v>3</v>
      </c>
      <c r="BE18">
        <f>AV39</f>
        <v>1.3121732583093593</v>
      </c>
      <c r="BF18">
        <f>AV40</f>
        <v>0.16166979128709788</v>
      </c>
    </row>
    <row r="19" spans="3:58" x14ac:dyDescent="0.25">
      <c r="D19" s="4" t="s">
        <v>17</v>
      </c>
      <c r="E19" s="8"/>
      <c r="F19" s="1" t="s">
        <v>33</v>
      </c>
      <c r="G19" s="1" t="s">
        <v>25</v>
      </c>
      <c r="H19" s="1" t="s">
        <v>26</v>
      </c>
      <c r="I19" s="1" t="s">
        <v>27</v>
      </c>
      <c r="J19" s="1" t="s">
        <v>28</v>
      </c>
      <c r="K19" s="1" t="s">
        <v>16</v>
      </c>
      <c r="L19" s="9"/>
      <c r="N19" s="4" t="s">
        <v>17</v>
      </c>
      <c r="O19" s="8"/>
      <c r="P19">
        <v>7321</v>
      </c>
      <c r="Q19">
        <v>6868</v>
      </c>
      <c r="R19">
        <v>7723</v>
      </c>
      <c r="S19">
        <v>6606</v>
      </c>
      <c r="T19">
        <v>7079</v>
      </c>
      <c r="U19" s="17">
        <v>12377</v>
      </c>
      <c r="V19" s="9"/>
      <c r="Y19" s="4" t="s">
        <v>17</v>
      </c>
      <c r="Z19" s="8"/>
      <c r="AA19" s="1">
        <f t="shared" ref="AA19:AA21" si="26">P19*1/$W$18</f>
        <v>0.9907077450493933</v>
      </c>
      <c r="AB19" s="1">
        <f t="shared" ref="AB19:AB21" si="27">Q19*1/$W$18</f>
        <v>0.92940592719563353</v>
      </c>
      <c r="AC19" s="1">
        <f t="shared" ref="AC19:AC21" si="28">R19*1/$W$18</f>
        <v>1.0451080337408092</v>
      </c>
      <c r="AD19" s="1">
        <f t="shared" ref="AD19:AD21" si="29">S19*1/$W$18</f>
        <v>0.89395101267535748</v>
      </c>
      <c r="AE19" s="1">
        <f t="shared" ref="AE19:AE21" si="30">T19*1/$W$18</f>
        <v>0.9579593125535657</v>
      </c>
      <c r="AF19" s="1">
        <f t="shared" ref="AF19:AF21" si="31">U19*1/$W$18</f>
        <v>1.6749064008299877</v>
      </c>
      <c r="AG19" s="9"/>
      <c r="AH19" s="1"/>
      <c r="AL19" s="15">
        <v>11</v>
      </c>
      <c r="AM19" s="15">
        <f>AB37</f>
        <v>0.95791529189953539</v>
      </c>
      <c r="AN19" s="15">
        <f>AA35</f>
        <v>1.1534576796175342</v>
      </c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>
        <f>AF50</f>
        <v>1.6071161980592186</v>
      </c>
      <c r="BC19" s="3" t="s">
        <v>12</v>
      </c>
      <c r="BD19" s="3" t="s">
        <v>2</v>
      </c>
      <c r="BE19">
        <f>AW39</f>
        <v>1.0319663781455701</v>
      </c>
      <c r="BF19">
        <f>AW40</f>
        <v>0.1223385297747502</v>
      </c>
    </row>
    <row r="20" spans="3:58" x14ac:dyDescent="0.25">
      <c r="D20" s="4" t="s">
        <v>18</v>
      </c>
      <c r="E20" s="8"/>
      <c r="F20" s="1" t="s">
        <v>33</v>
      </c>
      <c r="G20" s="1" t="s">
        <v>25</v>
      </c>
      <c r="H20" s="1" t="s">
        <v>26</v>
      </c>
      <c r="I20" s="1" t="s">
        <v>27</v>
      </c>
      <c r="J20" s="1" t="s">
        <v>28</v>
      </c>
      <c r="K20" s="1"/>
      <c r="L20" s="9"/>
      <c r="N20" s="4" t="s">
        <v>18</v>
      </c>
      <c r="O20" s="8"/>
      <c r="P20">
        <v>7079</v>
      </c>
      <c r="Q20">
        <v>4793</v>
      </c>
      <c r="R20">
        <v>7541</v>
      </c>
      <c r="S20">
        <v>6380</v>
      </c>
      <c r="T20">
        <v>6868</v>
      </c>
      <c r="V20" s="9"/>
      <c r="Y20" s="4" t="s">
        <v>18</v>
      </c>
      <c r="Z20" s="8"/>
      <c r="AA20" s="1">
        <f t="shared" si="26"/>
        <v>0.9579593125535657</v>
      </c>
      <c r="AB20" s="1">
        <f t="shared" si="27"/>
        <v>0.64860841715909601</v>
      </c>
      <c r="AC20" s="1">
        <f t="shared" si="28"/>
        <v>1.0204790473183274</v>
      </c>
      <c r="AD20" s="1">
        <f t="shared" si="29"/>
        <v>0.8633677657990888</v>
      </c>
      <c r="AE20" s="1">
        <f t="shared" si="30"/>
        <v>0.92940592719563353</v>
      </c>
      <c r="AF20" s="1">
        <f t="shared" si="31"/>
        <v>0</v>
      </c>
      <c r="AG20" s="9"/>
      <c r="AH20" s="1"/>
      <c r="AL20" s="15">
        <v>12</v>
      </c>
      <c r="AM20" s="15">
        <f>AC37</f>
        <v>1.0302336542993737</v>
      </c>
      <c r="AN20" s="15">
        <f>AA36</f>
        <v>0.93165443404484549</v>
      </c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>
        <f>AF51</f>
        <v>1.5125031102264244</v>
      </c>
      <c r="BC20" s="3"/>
      <c r="BD20" s="3" t="s">
        <v>3</v>
      </c>
      <c r="BE20">
        <f>AX39</f>
        <v>1.0178823624943212</v>
      </c>
      <c r="BF20">
        <f>AX40</f>
        <v>0.14997607781957742</v>
      </c>
    </row>
    <row r="21" spans="3:58" x14ac:dyDescent="0.25">
      <c r="D21" s="4" t="s">
        <v>19</v>
      </c>
      <c r="E21" s="8"/>
      <c r="F21" s="1" t="s">
        <v>34</v>
      </c>
      <c r="G21" s="1" t="s">
        <v>34</v>
      </c>
      <c r="H21" s="1" t="s">
        <v>34</v>
      </c>
      <c r="I21" s="1"/>
      <c r="J21" s="1"/>
      <c r="K21" s="1"/>
      <c r="L21" s="9"/>
      <c r="N21" s="4" t="s">
        <v>19</v>
      </c>
      <c r="O21" s="8"/>
      <c r="P21">
        <v>7321</v>
      </c>
      <c r="Q21">
        <v>7042</v>
      </c>
      <c r="R21">
        <v>4793</v>
      </c>
      <c r="S21" s="1"/>
      <c r="T21" s="1"/>
      <c r="U21" s="20"/>
      <c r="V21" s="9"/>
      <c r="Y21" s="4" t="s">
        <v>19</v>
      </c>
      <c r="Z21" s="8"/>
      <c r="AA21" s="1">
        <f t="shared" si="26"/>
        <v>0.9907077450493933</v>
      </c>
      <c r="AB21" s="1">
        <f t="shared" si="27"/>
        <v>0.95295232080833592</v>
      </c>
      <c r="AC21" s="1">
        <f t="shared" si="28"/>
        <v>0.64860841715909601</v>
      </c>
      <c r="AD21" s="1">
        <f t="shared" si="29"/>
        <v>0</v>
      </c>
      <c r="AE21" s="1">
        <f t="shared" si="30"/>
        <v>0</v>
      </c>
      <c r="AF21" s="1">
        <f t="shared" si="31"/>
        <v>0</v>
      </c>
      <c r="AG21" s="9"/>
      <c r="AH21" s="1"/>
      <c r="AL21" s="15">
        <v>13</v>
      </c>
      <c r="AM21" s="15">
        <f>AA45</f>
        <v>1.0843327133970371</v>
      </c>
      <c r="AN21" s="15">
        <f>AA42</f>
        <v>0.96870390559866604</v>
      </c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>
        <f>AF58</f>
        <v>1.570509648688768</v>
      </c>
      <c r="BC21" s="3" t="s">
        <v>13</v>
      </c>
      <c r="BD21" s="3" t="s">
        <v>2</v>
      </c>
      <c r="BE21">
        <f>AY39</f>
        <v>1.0421761493744703</v>
      </c>
      <c r="BF21">
        <f>AY40</f>
        <v>6.7164416999557677E-2</v>
      </c>
    </row>
    <row r="22" spans="3:58" x14ac:dyDescent="0.25">
      <c r="D22" s="4" t="s">
        <v>20</v>
      </c>
      <c r="E22" s="10"/>
      <c r="F22" s="11"/>
      <c r="G22" s="11"/>
      <c r="H22" s="11"/>
      <c r="I22" s="11"/>
      <c r="J22" s="11"/>
      <c r="K22" s="11"/>
      <c r="L22" s="12"/>
      <c r="N22" s="4" t="s">
        <v>20</v>
      </c>
      <c r="O22" s="10"/>
      <c r="P22" s="11"/>
      <c r="Q22" s="11"/>
      <c r="R22" s="11"/>
      <c r="S22" s="11"/>
      <c r="T22" s="11"/>
      <c r="U22" s="21"/>
      <c r="V22" s="12"/>
      <c r="Y22" s="4" t="s">
        <v>20</v>
      </c>
      <c r="Z22" s="10"/>
      <c r="AA22" s="11"/>
      <c r="AB22" s="11"/>
      <c r="AC22" s="11"/>
      <c r="AD22" s="11"/>
      <c r="AE22" s="11"/>
      <c r="AF22" s="25"/>
      <c r="AG22" s="12"/>
      <c r="AH22" s="1"/>
      <c r="AL22" s="15">
        <v>14</v>
      </c>
      <c r="AM22" s="15">
        <f>AB45</f>
        <v>0.96966587571346108</v>
      </c>
      <c r="AN22" s="15">
        <f>AA43</f>
        <v>1.1364714936189315</v>
      </c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>
        <f>AF59</f>
        <v>1.4680851063829787</v>
      </c>
      <c r="BC22" s="3"/>
      <c r="BD22" s="3" t="s">
        <v>3</v>
      </c>
      <c r="BE22">
        <f>AZ39</f>
        <v>1.0788224716206738</v>
      </c>
      <c r="BF22">
        <f>AZ40</f>
        <v>8.6288367178952718E-2</v>
      </c>
    </row>
    <row r="23" spans="3:58" x14ac:dyDescent="0.25">
      <c r="AL23" s="15">
        <v>15</v>
      </c>
      <c r="AM23" s="15">
        <f>AC45</f>
        <v>0.91483357917014041</v>
      </c>
      <c r="AN23" s="15">
        <f>AA44</f>
        <v>0.89482460078240234</v>
      </c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>
        <f>AF66</f>
        <v>1.4460188533823444</v>
      </c>
      <c r="BC23" s="3" t="s">
        <v>6</v>
      </c>
      <c r="BD23" s="3" t="s">
        <v>6</v>
      </c>
      <c r="BE23">
        <f>BA39</f>
        <v>1.5820106679346932</v>
      </c>
      <c r="BF23">
        <f>BA40</f>
        <v>6.1386355404825448E-2</v>
      </c>
    </row>
    <row r="24" spans="3:58" x14ac:dyDescent="0.25">
      <c r="C24" t="s">
        <v>37</v>
      </c>
      <c r="E24" s="4">
        <v>1</v>
      </c>
      <c r="F24" s="4">
        <v>2</v>
      </c>
      <c r="G24" s="4">
        <v>3</v>
      </c>
      <c r="H24" s="4">
        <v>4</v>
      </c>
      <c r="I24" s="4">
        <v>5</v>
      </c>
      <c r="J24" s="4">
        <v>6</v>
      </c>
      <c r="K24" s="4">
        <v>7</v>
      </c>
      <c r="L24" s="4">
        <v>8</v>
      </c>
      <c r="O24" s="4">
        <v>1</v>
      </c>
      <c r="P24" s="4">
        <v>2</v>
      </c>
      <c r="Q24" s="4">
        <v>3</v>
      </c>
      <c r="R24" s="4">
        <v>4</v>
      </c>
      <c r="S24" s="4">
        <v>5</v>
      </c>
      <c r="T24" s="4">
        <v>6</v>
      </c>
      <c r="U24" s="18">
        <v>7</v>
      </c>
      <c r="V24" s="4">
        <v>8</v>
      </c>
      <c r="Z24" s="4">
        <v>1</v>
      </c>
      <c r="AA24" s="4">
        <v>2</v>
      </c>
      <c r="AB24" s="4">
        <v>3</v>
      </c>
      <c r="AC24" s="4">
        <v>4</v>
      </c>
      <c r="AD24" s="4">
        <v>5</v>
      </c>
      <c r="AE24" s="4">
        <v>6</v>
      </c>
      <c r="AF24" s="23">
        <v>7</v>
      </c>
      <c r="AG24" s="4">
        <v>8</v>
      </c>
      <c r="AH24" s="4"/>
      <c r="AI24" t="s">
        <v>37</v>
      </c>
      <c r="AL24" s="15">
        <v>16</v>
      </c>
      <c r="AM24" s="15">
        <f>AA53</f>
        <v>1.1532719581985569</v>
      </c>
      <c r="AN24" s="15">
        <f>AA50</f>
        <v>1.0474620552376213</v>
      </c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>
        <f>AF67</f>
        <v>1.604316120234778</v>
      </c>
    </row>
    <row r="25" spans="3:58" x14ac:dyDescent="0.25">
      <c r="D25" s="4" t="s">
        <v>14</v>
      </c>
      <c r="E25" s="5"/>
      <c r="F25" s="6"/>
      <c r="G25" s="6"/>
      <c r="H25" s="6"/>
      <c r="I25" s="6"/>
      <c r="J25" s="6"/>
      <c r="K25" s="6"/>
      <c r="L25" s="7"/>
      <c r="N25" s="4" t="s">
        <v>14</v>
      </c>
      <c r="O25" s="5"/>
      <c r="P25" s="6"/>
      <c r="Q25" s="6"/>
      <c r="R25" s="6"/>
      <c r="S25" s="6"/>
      <c r="T25" s="6"/>
      <c r="U25" s="19"/>
      <c r="V25" s="7"/>
      <c r="Y25" s="4" t="s">
        <v>14</v>
      </c>
      <c r="Z25" s="5"/>
      <c r="AA25" s="6"/>
      <c r="AB25" s="6"/>
      <c r="AC25" s="6"/>
      <c r="AD25" s="6"/>
      <c r="AE25" s="6"/>
      <c r="AF25" s="24"/>
      <c r="AG25" s="7"/>
      <c r="AH25" s="1"/>
      <c r="AL25" s="15">
        <v>17</v>
      </c>
      <c r="AM25" s="15">
        <f>AB53</f>
        <v>0.9315750186613585</v>
      </c>
      <c r="AN25" s="15">
        <f t="shared" ref="AN25:AN26" si="32">AA51</f>
        <v>0.80038566807663591</v>
      </c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>
        <f>AF74</f>
        <v>1.5873796081036202</v>
      </c>
    </row>
    <row r="26" spans="3:58" x14ac:dyDescent="0.25">
      <c r="D26" s="4" t="s">
        <v>15</v>
      </c>
      <c r="E26" s="8"/>
      <c r="F26" s="1" t="s">
        <v>33</v>
      </c>
      <c r="G26" s="1" t="s">
        <v>25</v>
      </c>
      <c r="H26" s="1" t="s">
        <v>26</v>
      </c>
      <c r="I26" s="1" t="s">
        <v>27</v>
      </c>
      <c r="J26" s="1" t="s">
        <v>28</v>
      </c>
      <c r="K26" s="1" t="s">
        <v>16</v>
      </c>
      <c r="L26" s="9"/>
      <c r="N26" s="4" t="s">
        <v>15</v>
      </c>
      <c r="O26" s="8"/>
      <c r="P26" s="1">
        <v>7307</v>
      </c>
      <c r="Q26" s="1">
        <v>11314</v>
      </c>
      <c r="R26" s="1">
        <v>7121</v>
      </c>
      <c r="S26" s="1">
        <v>7182</v>
      </c>
      <c r="T26" s="1">
        <v>7307</v>
      </c>
      <c r="U26" s="20">
        <v>12035</v>
      </c>
      <c r="V26" s="9"/>
      <c r="W26">
        <f>AVERAGE(P26:P28)</f>
        <v>7091.666666666667</v>
      </c>
      <c r="Y26" s="4" t="s">
        <v>15</v>
      </c>
      <c r="Z26" s="8"/>
      <c r="AA26" s="1">
        <f>P26*1/$W$26</f>
        <v>1.030364277320799</v>
      </c>
      <c r="AB26" s="1">
        <f t="shared" ref="AB26:AF26" si="33">Q26*1/$W$26</f>
        <v>1.5953936545240892</v>
      </c>
      <c r="AC26" s="1">
        <f t="shared" si="33"/>
        <v>1.0041363102232668</v>
      </c>
      <c r="AD26" s="1">
        <f t="shared" si="33"/>
        <v>1.0127379553466509</v>
      </c>
      <c r="AE26" s="1">
        <f t="shared" si="33"/>
        <v>1.030364277320799</v>
      </c>
      <c r="AF26" s="1">
        <f t="shared" si="33"/>
        <v>1.6970622796709753</v>
      </c>
      <c r="AG26" s="9"/>
      <c r="AH26" s="1"/>
      <c r="AL26" s="15">
        <v>18</v>
      </c>
      <c r="AM26" s="15">
        <f>AC53</f>
        <v>0.9685245085842249</v>
      </c>
      <c r="AN26" s="15">
        <f t="shared" si="32"/>
        <v>1.1521522766857426</v>
      </c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>
        <f>AF75</f>
        <v>1.6087014280969778</v>
      </c>
    </row>
    <row r="27" spans="3:58" x14ac:dyDescent="0.25">
      <c r="D27" s="4" t="s">
        <v>17</v>
      </c>
      <c r="E27" s="8"/>
      <c r="F27" s="1" t="s">
        <v>33</v>
      </c>
      <c r="G27" s="1" t="s">
        <v>25</v>
      </c>
      <c r="H27" s="1" t="s">
        <v>26</v>
      </c>
      <c r="I27" s="1" t="s">
        <v>27</v>
      </c>
      <c r="J27" s="1" t="s">
        <v>28</v>
      </c>
      <c r="K27" s="1" t="s">
        <v>16</v>
      </c>
      <c r="L27" s="9"/>
      <c r="N27" s="4" t="s">
        <v>17</v>
      </c>
      <c r="O27" s="8"/>
      <c r="P27" s="1">
        <v>7091</v>
      </c>
      <c r="Q27" s="1">
        <v>6831</v>
      </c>
      <c r="R27" s="1">
        <v>6855</v>
      </c>
      <c r="S27" s="1">
        <v>6314</v>
      </c>
      <c r="T27" s="1">
        <v>6877</v>
      </c>
      <c r="U27" s="20">
        <v>11314</v>
      </c>
      <c r="V27" s="9"/>
      <c r="Y27" s="4" t="s">
        <v>17</v>
      </c>
      <c r="Z27" s="8"/>
      <c r="AA27" s="1">
        <f t="shared" ref="AA27:AA29" si="34">P27*1/$W$26</f>
        <v>0.99990599294947113</v>
      </c>
      <c r="AB27" s="1">
        <f t="shared" ref="AB27:AB29" si="35">Q27*1/$W$26</f>
        <v>0.96324324324324317</v>
      </c>
      <c r="AC27" s="1">
        <f t="shared" ref="AC27:AC29" si="36">R27*1/$W$26</f>
        <v>0.96662749706227968</v>
      </c>
      <c r="AD27" s="1">
        <f t="shared" ref="AD27:AD29" si="37">S27*1/$W$26</f>
        <v>0.89034077555816682</v>
      </c>
      <c r="AE27" s="1">
        <f t="shared" ref="AE27:AE29" si="38">T27*1/$W$26</f>
        <v>0.96972972972972971</v>
      </c>
      <c r="AF27" s="1">
        <f t="shared" ref="AF27:AF29" si="39">U27*1/$W$26</f>
        <v>1.5953936545240892</v>
      </c>
      <c r="AG27" s="9"/>
      <c r="AH27" s="1"/>
      <c r="AL27" s="15">
        <v>19</v>
      </c>
      <c r="AM27" s="15">
        <f>AA61</f>
        <v>0.98540326571004455</v>
      </c>
      <c r="AN27" s="15">
        <f>AA58</f>
        <v>1.0437902028698665</v>
      </c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</row>
    <row r="28" spans="3:58" x14ac:dyDescent="0.25">
      <c r="D28" s="4" t="s">
        <v>18</v>
      </c>
      <c r="E28" s="8"/>
      <c r="F28" s="1" t="s">
        <v>33</v>
      </c>
      <c r="G28" s="1" t="s">
        <v>25</v>
      </c>
      <c r="H28" s="1" t="s">
        <v>26</v>
      </c>
      <c r="I28" s="1" t="s">
        <v>27</v>
      </c>
      <c r="J28" s="1" t="s">
        <v>28</v>
      </c>
      <c r="K28" s="1"/>
      <c r="L28" s="9"/>
      <c r="N28" s="4" t="s">
        <v>18</v>
      </c>
      <c r="O28" s="8"/>
      <c r="P28" s="1">
        <v>6877</v>
      </c>
      <c r="Q28" s="1">
        <v>4448</v>
      </c>
      <c r="R28" s="1">
        <v>6985</v>
      </c>
      <c r="S28" s="1">
        <v>8307</v>
      </c>
      <c r="T28" s="1">
        <v>6831</v>
      </c>
      <c r="U28" s="20"/>
      <c r="V28" s="9"/>
      <c r="Y28" s="4" t="s">
        <v>18</v>
      </c>
      <c r="Z28" s="8"/>
      <c r="AA28" s="1">
        <f t="shared" si="34"/>
        <v>0.96972972972972971</v>
      </c>
      <c r="AB28" s="1">
        <f t="shared" si="35"/>
        <v>0.62721504112808457</v>
      </c>
      <c r="AC28" s="1">
        <f t="shared" si="36"/>
        <v>0.98495887191539366</v>
      </c>
      <c r="AD28" s="1">
        <f t="shared" si="37"/>
        <v>1.1713748531139836</v>
      </c>
      <c r="AE28" s="1">
        <f t="shared" si="38"/>
        <v>0.96324324324324317</v>
      </c>
      <c r="AF28" s="1">
        <f t="shared" si="39"/>
        <v>0</v>
      </c>
      <c r="AG28" s="9"/>
      <c r="AH28" s="1"/>
      <c r="AL28" s="15">
        <v>20</v>
      </c>
      <c r="AM28" s="15">
        <f>AB61</f>
        <v>0.95769421078673922</v>
      </c>
      <c r="AN28" s="15">
        <f>AA59</f>
        <v>1.0091538842157348</v>
      </c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</row>
    <row r="29" spans="3:58" x14ac:dyDescent="0.25">
      <c r="D29" s="4" t="s">
        <v>19</v>
      </c>
      <c r="E29" s="8"/>
      <c r="F29" s="1" t="s">
        <v>34</v>
      </c>
      <c r="G29" s="1" t="s">
        <v>34</v>
      </c>
      <c r="H29" s="1" t="s">
        <v>34</v>
      </c>
      <c r="I29" s="1"/>
      <c r="J29" s="1"/>
      <c r="K29" s="1"/>
      <c r="L29" s="9"/>
      <c r="N29" s="4" t="s">
        <v>19</v>
      </c>
      <c r="O29" s="8"/>
      <c r="P29" s="1">
        <v>7435</v>
      </c>
      <c r="Q29" s="1">
        <v>6978</v>
      </c>
      <c r="R29" s="1">
        <v>7455</v>
      </c>
      <c r="S29" s="1"/>
      <c r="T29" s="1"/>
      <c r="U29" s="20"/>
      <c r="V29" s="9"/>
      <c r="Y29" s="4" t="s">
        <v>19</v>
      </c>
      <c r="Z29" s="8"/>
      <c r="AA29" s="1">
        <f t="shared" si="34"/>
        <v>1.0484136310223267</v>
      </c>
      <c r="AB29" s="1">
        <f t="shared" si="35"/>
        <v>0.98397179788484135</v>
      </c>
      <c r="AC29" s="1">
        <f t="shared" si="36"/>
        <v>1.0512338425381904</v>
      </c>
      <c r="AD29" s="1">
        <f t="shared" si="37"/>
        <v>0</v>
      </c>
      <c r="AE29" s="1">
        <f t="shared" si="38"/>
        <v>0</v>
      </c>
      <c r="AF29" s="1">
        <f t="shared" si="39"/>
        <v>0</v>
      </c>
      <c r="AG29" s="9"/>
      <c r="AH29" s="1"/>
      <c r="AL29" s="15">
        <v>21</v>
      </c>
      <c r="AM29" s="15">
        <f>AC61</f>
        <v>0.94433448787728846</v>
      </c>
      <c r="AN29" s="15">
        <f t="shared" ref="AN29" si="40">AA60</f>
        <v>0.94705591291439883</v>
      </c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</row>
    <row r="30" spans="3:58" x14ac:dyDescent="0.25">
      <c r="D30" s="4" t="s">
        <v>20</v>
      </c>
      <c r="E30" s="10"/>
      <c r="F30" s="11"/>
      <c r="G30" s="11"/>
      <c r="H30" s="11"/>
      <c r="I30" s="11"/>
      <c r="J30" s="11"/>
      <c r="K30" s="11"/>
      <c r="L30" s="12"/>
      <c r="N30" s="4" t="s">
        <v>20</v>
      </c>
      <c r="O30" s="10"/>
      <c r="P30" s="11"/>
      <c r="Q30" s="11"/>
      <c r="R30" s="11"/>
      <c r="S30" s="11"/>
      <c r="T30" s="11"/>
      <c r="U30" s="21"/>
      <c r="V30" s="12"/>
      <c r="Y30" s="4" t="s">
        <v>20</v>
      </c>
      <c r="Z30" s="10"/>
      <c r="AA30" s="11"/>
      <c r="AB30" s="11"/>
      <c r="AC30" s="11"/>
      <c r="AD30" s="11"/>
      <c r="AE30" s="11"/>
      <c r="AF30" s="25"/>
      <c r="AG30" s="12"/>
      <c r="AH30" s="1"/>
      <c r="AL30" s="15">
        <v>22</v>
      </c>
      <c r="AM30" s="15">
        <f>AA69</f>
        <v>0.80037943914151899</v>
      </c>
      <c r="AN30" s="15">
        <f>AA66</f>
        <v>1.0404932708839747</v>
      </c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</row>
    <row r="31" spans="3:58" x14ac:dyDescent="0.25">
      <c r="AL31" s="15">
        <v>23</v>
      </c>
      <c r="AM31" s="15">
        <f>AB69</f>
        <v>1.1520128060710264</v>
      </c>
      <c r="AN31" s="15">
        <f t="shared" ref="AN31:AN32" si="41">AA67</f>
        <v>1.0102567142941841</v>
      </c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</row>
    <row r="32" spans="3:58" x14ac:dyDescent="0.25">
      <c r="C32" t="s">
        <v>38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O32" s="4">
        <v>1</v>
      </c>
      <c r="P32" s="4">
        <v>2</v>
      </c>
      <c r="Q32" s="4">
        <v>3</v>
      </c>
      <c r="R32" s="4">
        <v>4</v>
      </c>
      <c r="S32" s="4">
        <v>5</v>
      </c>
      <c r="T32" s="4">
        <v>6</v>
      </c>
      <c r="U32" s="18">
        <v>7</v>
      </c>
      <c r="V32" s="4">
        <v>8</v>
      </c>
      <c r="Z32" s="4">
        <v>1</v>
      </c>
      <c r="AA32" s="4">
        <v>2</v>
      </c>
      <c r="AB32" s="4">
        <v>3</v>
      </c>
      <c r="AC32" s="4">
        <v>4</v>
      </c>
      <c r="AD32" s="4">
        <v>5</v>
      </c>
      <c r="AE32" s="4">
        <v>6</v>
      </c>
      <c r="AF32" s="23">
        <v>7</v>
      </c>
      <c r="AG32" s="4">
        <v>8</v>
      </c>
      <c r="AH32" s="4"/>
      <c r="AI32" t="s">
        <v>38</v>
      </c>
      <c r="AL32" s="15">
        <v>24</v>
      </c>
      <c r="AM32" s="15">
        <f>AC69</f>
        <v>0.99069188355961346</v>
      </c>
      <c r="AN32" s="15">
        <f t="shared" si="41"/>
        <v>0.94925001482184157</v>
      </c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</row>
    <row r="33" spans="3:53" x14ac:dyDescent="0.25">
      <c r="D33" s="4" t="s">
        <v>14</v>
      </c>
      <c r="E33" s="5"/>
      <c r="F33" s="6"/>
      <c r="G33" s="6"/>
      <c r="H33" s="6"/>
      <c r="I33" s="6"/>
      <c r="J33" s="6"/>
      <c r="K33" s="6"/>
      <c r="L33" s="7"/>
      <c r="N33" s="4" t="s">
        <v>14</v>
      </c>
      <c r="O33" s="5"/>
      <c r="P33" s="6"/>
      <c r="Q33" s="6"/>
      <c r="R33" s="6"/>
      <c r="S33" s="6"/>
      <c r="T33" s="6"/>
      <c r="U33" s="19"/>
      <c r="V33" s="7"/>
      <c r="Y33" s="4" t="s">
        <v>14</v>
      </c>
      <c r="Z33" s="5"/>
      <c r="AA33" s="6"/>
      <c r="AB33" s="6"/>
      <c r="AC33" s="6"/>
      <c r="AD33" s="6"/>
      <c r="AE33" s="6"/>
      <c r="AF33" s="24"/>
      <c r="AG33" s="7"/>
      <c r="AH33" s="1"/>
      <c r="AL33" s="15">
        <v>25</v>
      </c>
      <c r="AM33" s="15">
        <f>AA77</f>
        <v>0.95788774493523754</v>
      </c>
      <c r="AN33" s="15">
        <f>AA74</f>
        <v>1.0545333776154102</v>
      </c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</row>
    <row r="34" spans="3:53" x14ac:dyDescent="0.25">
      <c r="D34" s="4" t="s">
        <v>15</v>
      </c>
      <c r="E34" s="8"/>
      <c r="F34" s="1" t="s">
        <v>33</v>
      </c>
      <c r="G34" t="s">
        <v>29</v>
      </c>
      <c r="H34" t="s">
        <v>30</v>
      </c>
      <c r="I34" t="s">
        <v>31</v>
      </c>
      <c r="J34" t="s">
        <v>32</v>
      </c>
      <c r="K34" t="s">
        <v>16</v>
      </c>
      <c r="L34" s="9"/>
      <c r="N34" s="4" t="s">
        <v>15</v>
      </c>
      <c r="O34" s="8"/>
      <c r="P34">
        <v>4529</v>
      </c>
      <c r="Q34">
        <v>6116</v>
      </c>
      <c r="R34">
        <v>7118</v>
      </c>
      <c r="S34">
        <v>4081</v>
      </c>
      <c r="T34">
        <v>4529</v>
      </c>
      <c r="U34" s="17">
        <v>8149</v>
      </c>
      <c r="V34" s="9"/>
      <c r="W34">
        <f>AVERAGE(P34:P36)</f>
        <v>4950.333333333333</v>
      </c>
      <c r="Y34" s="4" t="s">
        <v>15</v>
      </c>
      <c r="Z34" s="8"/>
      <c r="AA34" s="1">
        <f>P34*1/$W$34</f>
        <v>0.91488788633762042</v>
      </c>
      <c r="AB34" s="1">
        <f t="shared" ref="AB34:AF34" si="42">Q34*1/$W$34</f>
        <v>1.2354723587637197</v>
      </c>
      <c r="AC34" s="1">
        <f t="shared" si="42"/>
        <v>1.4378829708437144</v>
      </c>
      <c r="AD34" s="1">
        <f t="shared" si="42"/>
        <v>0.82438893003838132</v>
      </c>
      <c r="AE34" s="1">
        <f t="shared" si="42"/>
        <v>0.91488788633762042</v>
      </c>
      <c r="AF34" s="1">
        <f t="shared" si="42"/>
        <v>1.6461517742912937</v>
      </c>
      <c r="AG34" s="9"/>
      <c r="AH34" s="1"/>
      <c r="AL34" s="15">
        <v>26</v>
      </c>
      <c r="AM34" s="15">
        <f>AB77</f>
        <v>1.0302225174360677</v>
      </c>
      <c r="AN34" s="15">
        <f t="shared" ref="AN34" si="43">AA75</f>
        <v>1.0051145798737962</v>
      </c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</row>
    <row r="35" spans="3:53" x14ac:dyDescent="0.25">
      <c r="D35" s="4" t="s">
        <v>17</v>
      </c>
      <c r="E35" s="8"/>
      <c r="F35" s="1" t="s">
        <v>33</v>
      </c>
      <c r="G35" t="s">
        <v>29</v>
      </c>
      <c r="H35" t="s">
        <v>30</v>
      </c>
      <c r="I35" t="s">
        <v>31</v>
      </c>
      <c r="J35" t="s">
        <v>32</v>
      </c>
      <c r="K35" t="s">
        <v>16</v>
      </c>
      <c r="L35" s="9"/>
      <c r="N35" s="4" t="s">
        <v>17</v>
      </c>
      <c r="O35" s="8"/>
      <c r="P35">
        <v>5710</v>
      </c>
      <c r="Q35">
        <v>3985</v>
      </c>
      <c r="R35">
        <v>6937</v>
      </c>
      <c r="S35">
        <v>4805</v>
      </c>
      <c r="T35">
        <v>4612</v>
      </c>
      <c r="U35" s="17">
        <v>7517</v>
      </c>
      <c r="V35" s="9"/>
      <c r="Y35" s="4" t="s">
        <v>17</v>
      </c>
      <c r="Z35" s="8"/>
      <c r="AA35" s="1">
        <f t="shared" ref="AA35:AA37" si="44">P35*1/$W$34</f>
        <v>1.1534576796175342</v>
      </c>
      <c r="AB35" s="1">
        <f t="shared" ref="AB35:AB37" si="45">Q35*1/$W$34</f>
        <v>0.80499629654568716</v>
      </c>
      <c r="AC35" s="1">
        <f t="shared" ref="AC35:AC37" si="46">R35*1/$W$34</f>
        <v>1.4013197764460306</v>
      </c>
      <c r="AD35" s="1">
        <f t="shared" ref="AD35:AD37" si="47">S35*1/$W$34</f>
        <v>0.97064170762911595</v>
      </c>
      <c r="AE35" s="1">
        <f t="shared" ref="AE35:AE37" si="48">T35*1/$W$34</f>
        <v>0.93165443404484549</v>
      </c>
      <c r="AF35" s="1">
        <f t="shared" ref="AF35:AF37" si="49">U35*1/$W$34</f>
        <v>1.5184836037977241</v>
      </c>
      <c r="AG35" s="9"/>
      <c r="AH35" s="1"/>
      <c r="AL35" s="15">
        <v>27</v>
      </c>
      <c r="AM35" s="15">
        <f>AC77</f>
        <v>1.0844237794752574</v>
      </c>
      <c r="AN35" s="15">
        <f>AA76</f>
        <v>0.94035204251079385</v>
      </c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</row>
    <row r="36" spans="3:53" x14ac:dyDescent="0.25">
      <c r="D36" s="4" t="s">
        <v>18</v>
      </c>
      <c r="E36" s="8"/>
      <c r="F36" s="1" t="s">
        <v>33</v>
      </c>
      <c r="G36" t="s">
        <v>29</v>
      </c>
      <c r="H36" t="s">
        <v>30</v>
      </c>
      <c r="I36" t="s">
        <v>31</v>
      </c>
      <c r="J36" t="s">
        <v>32</v>
      </c>
      <c r="L36" s="9"/>
      <c r="N36" s="4" t="s">
        <v>18</v>
      </c>
      <c r="O36" s="8"/>
      <c r="P36">
        <v>4612</v>
      </c>
      <c r="Q36">
        <v>3878</v>
      </c>
      <c r="R36">
        <v>8313</v>
      </c>
      <c r="S36">
        <v>4637</v>
      </c>
      <c r="T36">
        <v>3985</v>
      </c>
      <c r="V36" s="9"/>
      <c r="Y36" s="4" t="s">
        <v>18</v>
      </c>
      <c r="Z36" s="8"/>
      <c r="AA36" s="1">
        <f t="shared" si="44"/>
        <v>0.93165443404484549</v>
      </c>
      <c r="AB36" s="1">
        <f t="shared" si="45"/>
        <v>0.78338159046528855</v>
      </c>
      <c r="AC36" s="1">
        <f t="shared" si="46"/>
        <v>1.6792808565079793</v>
      </c>
      <c r="AD36" s="1">
        <f t="shared" si="47"/>
        <v>0.93670459901690128</v>
      </c>
      <c r="AE36" s="1">
        <f t="shared" si="48"/>
        <v>0.80499629654568716</v>
      </c>
      <c r="AF36" s="1">
        <f t="shared" si="49"/>
        <v>0</v>
      </c>
      <c r="AG36" s="9"/>
      <c r="AH36" s="1"/>
    </row>
    <row r="37" spans="3:53" x14ac:dyDescent="0.25">
      <c r="D37" s="4" t="s">
        <v>19</v>
      </c>
      <c r="E37" s="8"/>
      <c r="F37" s="1" t="s">
        <v>34</v>
      </c>
      <c r="G37" s="1" t="s">
        <v>34</v>
      </c>
      <c r="H37" s="1" t="s">
        <v>34</v>
      </c>
      <c r="I37" s="1"/>
      <c r="J37" s="1"/>
      <c r="K37" s="1"/>
      <c r="L37" s="9"/>
      <c r="N37" s="4" t="s">
        <v>19</v>
      </c>
      <c r="O37" s="8"/>
      <c r="P37">
        <v>4904</v>
      </c>
      <c r="Q37">
        <v>4742</v>
      </c>
      <c r="R37">
        <v>5100</v>
      </c>
      <c r="V37" s="9"/>
      <c r="Y37" s="4" t="s">
        <v>19</v>
      </c>
      <c r="Z37" s="8"/>
      <c r="AA37" s="1">
        <f t="shared" si="44"/>
        <v>0.99064036091845675</v>
      </c>
      <c r="AB37" s="1">
        <f t="shared" si="45"/>
        <v>0.95791529189953539</v>
      </c>
      <c r="AC37" s="1">
        <f t="shared" si="46"/>
        <v>1.0302336542993737</v>
      </c>
      <c r="AD37" s="1">
        <f t="shared" si="47"/>
        <v>0</v>
      </c>
      <c r="AE37" s="1">
        <f t="shared" si="48"/>
        <v>0</v>
      </c>
      <c r="AF37" s="1">
        <f t="shared" si="49"/>
        <v>0</v>
      </c>
      <c r="AG37" s="9"/>
      <c r="AH37" s="1"/>
    </row>
    <row r="38" spans="3:53" x14ac:dyDescent="0.25">
      <c r="D38" s="4" t="s">
        <v>20</v>
      </c>
      <c r="E38" s="10"/>
      <c r="F38" s="11"/>
      <c r="G38" s="11"/>
      <c r="H38" s="11"/>
      <c r="I38" s="11"/>
      <c r="J38" s="11"/>
      <c r="K38" s="11"/>
      <c r="L38" s="12"/>
      <c r="N38" s="4" t="s">
        <v>20</v>
      </c>
      <c r="O38" s="10"/>
      <c r="P38" s="11"/>
      <c r="Q38" s="11"/>
      <c r="R38" s="11"/>
      <c r="S38" s="11"/>
      <c r="T38" s="11"/>
      <c r="U38" s="21"/>
      <c r="V38" s="12"/>
      <c r="Y38" s="4" t="s">
        <v>20</v>
      </c>
      <c r="Z38" s="10"/>
      <c r="AA38" s="11"/>
      <c r="AB38" s="11"/>
      <c r="AC38" s="11"/>
      <c r="AD38" s="11"/>
      <c r="AE38" s="11"/>
      <c r="AF38" s="25"/>
      <c r="AG38" s="12"/>
      <c r="AH38" s="1"/>
    </row>
    <row r="39" spans="3:53" x14ac:dyDescent="0.25">
      <c r="AM39">
        <f>AVERAGE(AM9:AM35)</f>
        <v>0.98994554877447405</v>
      </c>
      <c r="AN39">
        <f>AVERAGE(AN9:AN35)</f>
        <v>1</v>
      </c>
      <c r="AO39">
        <f>AVERAGE(AO9:AO26)</f>
        <v>1.0389449880653103</v>
      </c>
      <c r="AP39">
        <f t="shared" ref="AP39:BA39" si="50">AVERAGE(AP9:AP26)</f>
        <v>1.1193970264118358</v>
      </c>
      <c r="AQ39">
        <f t="shared" si="50"/>
        <v>0.97272525206726479</v>
      </c>
      <c r="AR39">
        <f t="shared" si="50"/>
        <v>0.9780208111945945</v>
      </c>
      <c r="AS39">
        <f t="shared" si="50"/>
        <v>0.97740945634816812</v>
      </c>
      <c r="AT39">
        <f t="shared" si="50"/>
        <v>0.98321944656505345</v>
      </c>
      <c r="AU39">
        <f t="shared" si="50"/>
        <v>1.060161233010612</v>
      </c>
      <c r="AV39">
        <f t="shared" si="50"/>
        <v>1.3121732583093593</v>
      </c>
      <c r="AW39">
        <f t="shared" si="50"/>
        <v>1.0319663781455701</v>
      </c>
      <c r="AX39">
        <f t="shared" si="50"/>
        <v>1.0178823624943212</v>
      </c>
      <c r="AY39">
        <f t="shared" si="50"/>
        <v>1.0421761493744703</v>
      </c>
      <c r="AZ39">
        <f t="shared" si="50"/>
        <v>1.0788224716206738</v>
      </c>
      <c r="BA39">
        <f t="shared" si="50"/>
        <v>1.5820106679346932</v>
      </c>
    </row>
    <row r="40" spans="3:53" x14ac:dyDescent="0.25">
      <c r="C40" t="s">
        <v>39</v>
      </c>
      <c r="E40" s="4">
        <v>1</v>
      </c>
      <c r="F40" s="4">
        <v>2</v>
      </c>
      <c r="G40" s="4">
        <v>3</v>
      </c>
      <c r="H40" s="4">
        <v>4</v>
      </c>
      <c r="I40" s="4">
        <v>5</v>
      </c>
      <c r="J40" s="4">
        <v>6</v>
      </c>
      <c r="K40" s="4">
        <v>7</v>
      </c>
      <c r="L40" s="4">
        <v>8</v>
      </c>
      <c r="O40" s="4">
        <v>1</v>
      </c>
      <c r="P40" s="4">
        <v>2</v>
      </c>
      <c r="Q40" s="4">
        <v>3</v>
      </c>
      <c r="R40" s="4">
        <v>4</v>
      </c>
      <c r="S40" s="4">
        <v>5</v>
      </c>
      <c r="T40" s="4">
        <v>6</v>
      </c>
      <c r="U40" s="18">
        <v>7</v>
      </c>
      <c r="V40" s="4">
        <v>8</v>
      </c>
      <c r="Z40" s="4">
        <v>1</v>
      </c>
      <c r="AA40" s="4">
        <v>2</v>
      </c>
      <c r="AB40" s="4">
        <v>3</v>
      </c>
      <c r="AC40" s="4">
        <v>4</v>
      </c>
      <c r="AD40" s="4">
        <v>5</v>
      </c>
      <c r="AE40" s="4">
        <v>6</v>
      </c>
      <c r="AF40" s="23">
        <v>7</v>
      </c>
      <c r="AG40" s="4">
        <v>8</v>
      </c>
      <c r="AH40" s="4"/>
      <c r="AI40" t="s">
        <v>39</v>
      </c>
      <c r="AM40">
        <f>AVEDEV(AM9:AM35)</f>
        <v>6.6336753758247255E-2</v>
      </c>
      <c r="AN40">
        <f>AVEDEV(AN9:AN35)</f>
        <v>5.7666790633300338E-2</v>
      </c>
      <c r="AO40">
        <f>AVEDEV(AO9:AO26)</f>
        <v>5.0784552708759555E-2</v>
      </c>
      <c r="AP40">
        <f t="shared" ref="AP40:BA40" si="51">AVEDEV(AP9:AP26)</f>
        <v>0.12284480495439827</v>
      </c>
      <c r="AQ40">
        <f t="shared" si="51"/>
        <v>0.23865103041689928</v>
      </c>
      <c r="AR40">
        <f t="shared" si="51"/>
        <v>6.0580432896458411E-2</v>
      </c>
      <c r="AS40">
        <f t="shared" si="51"/>
        <v>7.839934028810365E-2</v>
      </c>
      <c r="AT40">
        <f t="shared" si="51"/>
        <v>3.9101733098132967E-2</v>
      </c>
      <c r="AU40">
        <f t="shared" si="51"/>
        <v>0.21589174676921619</v>
      </c>
      <c r="AV40">
        <f t="shared" si="51"/>
        <v>0.16166979128709788</v>
      </c>
      <c r="AW40">
        <f t="shared" si="51"/>
        <v>0.1223385297747502</v>
      </c>
      <c r="AX40">
        <f t="shared" si="51"/>
        <v>0.14997607781957742</v>
      </c>
      <c r="AY40">
        <f t="shared" si="51"/>
        <v>6.7164416999557677E-2</v>
      </c>
      <c r="AZ40">
        <f t="shared" si="51"/>
        <v>8.6288367178952718E-2</v>
      </c>
      <c r="BA40">
        <f t="shared" si="51"/>
        <v>6.1386355404825448E-2</v>
      </c>
    </row>
    <row r="41" spans="3:53" x14ac:dyDescent="0.25">
      <c r="D41" s="4" t="s">
        <v>14</v>
      </c>
      <c r="E41" s="5"/>
      <c r="F41" s="6"/>
      <c r="G41" s="6"/>
      <c r="H41" s="6"/>
      <c r="I41" s="6"/>
      <c r="J41" s="6"/>
      <c r="K41" s="6"/>
      <c r="L41" s="7"/>
      <c r="N41" s="4" t="s">
        <v>14</v>
      </c>
      <c r="O41" s="5"/>
      <c r="P41" s="6"/>
      <c r="Q41" s="6"/>
      <c r="R41" s="6"/>
      <c r="S41" s="6"/>
      <c r="T41" s="6"/>
      <c r="U41" s="19"/>
      <c r="V41" s="7"/>
      <c r="Y41" s="4" t="s">
        <v>14</v>
      </c>
      <c r="Z41" s="5"/>
      <c r="AA41" s="6"/>
      <c r="AB41" s="6"/>
      <c r="AC41" s="6"/>
      <c r="AD41" s="6"/>
      <c r="AE41" s="6"/>
      <c r="AF41" s="24"/>
      <c r="AG41" s="7"/>
      <c r="AH41" s="1"/>
    </row>
    <row r="42" spans="3:53" x14ac:dyDescent="0.25">
      <c r="D42" s="4" t="s">
        <v>15</v>
      </c>
      <c r="E42" s="8"/>
      <c r="F42" s="1" t="s">
        <v>33</v>
      </c>
      <c r="G42" t="s">
        <v>29</v>
      </c>
      <c r="H42" t="s">
        <v>30</v>
      </c>
      <c r="I42" t="s">
        <v>31</v>
      </c>
      <c r="J42" t="s">
        <v>32</v>
      </c>
      <c r="K42" t="s">
        <v>16</v>
      </c>
      <c r="L42" s="9"/>
      <c r="N42" s="4" t="s">
        <v>15</v>
      </c>
      <c r="O42" s="8"/>
      <c r="P42" s="1">
        <v>5035</v>
      </c>
      <c r="Q42" s="1">
        <v>6256</v>
      </c>
      <c r="R42" s="1">
        <v>7080</v>
      </c>
      <c r="S42" s="1">
        <v>4879</v>
      </c>
      <c r="T42" s="1">
        <v>5035</v>
      </c>
      <c r="U42" s="20">
        <v>8353</v>
      </c>
      <c r="V42" s="9"/>
      <c r="W42">
        <f>AVERAGE(P42:P44)</f>
        <v>5197.666666666667</v>
      </c>
      <c r="Y42" s="4" t="s">
        <v>15</v>
      </c>
      <c r="Z42" s="8"/>
      <c r="AA42" s="1">
        <f>P42*1/$W$42</f>
        <v>0.96870390559866604</v>
      </c>
      <c r="AB42" s="1">
        <f t="shared" ref="AB42:AF42" si="52">Q42*1/$W$42</f>
        <v>1.2036170076316295</v>
      </c>
      <c r="AC42" s="1">
        <f t="shared" si="52"/>
        <v>1.362149682549862</v>
      </c>
      <c r="AD42" s="1">
        <f t="shared" si="52"/>
        <v>0.93869043801705887</v>
      </c>
      <c r="AE42" s="1">
        <f t="shared" si="52"/>
        <v>0.96870390559866604</v>
      </c>
      <c r="AF42" s="1">
        <f t="shared" si="52"/>
        <v>1.6070672737766947</v>
      </c>
      <c r="AG42" s="9"/>
      <c r="AH42" s="1"/>
    </row>
    <row r="43" spans="3:53" x14ac:dyDescent="0.25">
      <c r="D43" s="4" t="s">
        <v>17</v>
      </c>
      <c r="E43" s="8"/>
      <c r="F43" s="1" t="s">
        <v>33</v>
      </c>
      <c r="G43" t="s">
        <v>29</v>
      </c>
      <c r="H43" t="s">
        <v>30</v>
      </c>
      <c r="I43" t="s">
        <v>31</v>
      </c>
      <c r="J43" t="s">
        <v>32</v>
      </c>
      <c r="K43" t="s">
        <v>16</v>
      </c>
      <c r="L43" s="9"/>
      <c r="N43" s="4" t="s">
        <v>17</v>
      </c>
      <c r="O43" s="8"/>
      <c r="P43" s="1">
        <v>5907</v>
      </c>
      <c r="Q43" s="1">
        <v>4768</v>
      </c>
      <c r="R43" s="1">
        <v>6634</v>
      </c>
      <c r="S43" s="1">
        <v>4880</v>
      </c>
      <c r="T43" s="1">
        <v>4651</v>
      </c>
      <c r="U43" s="20">
        <v>8353</v>
      </c>
      <c r="V43" s="9"/>
      <c r="Y43" s="4" t="s">
        <v>17</v>
      </c>
      <c r="Z43" s="8"/>
      <c r="AA43" s="1">
        <f t="shared" ref="AA43:AA45" si="53">P43*1/$W$42</f>
        <v>1.1364714936189315</v>
      </c>
      <c r="AB43" s="1">
        <f t="shared" ref="AB43:AB45" si="54">Q43*1/$W$42</f>
        <v>0.91733470146860763</v>
      </c>
      <c r="AC43" s="1">
        <f t="shared" ref="AC43:AC45" si="55">R43*1/$W$42</f>
        <v>1.276341948310139</v>
      </c>
      <c r="AD43" s="1">
        <f t="shared" ref="AD43:AD45" si="56">S43*1/$W$42</f>
        <v>0.93888283204001788</v>
      </c>
      <c r="AE43" s="1">
        <f t="shared" ref="AE43:AE45" si="57">T43*1/$W$42</f>
        <v>0.89482460078240234</v>
      </c>
      <c r="AF43" s="1">
        <f t="shared" ref="AF43:AF45" si="58">U43*1/$W$42</f>
        <v>1.6070672737766947</v>
      </c>
      <c r="AG43" s="9"/>
      <c r="AH43" s="1"/>
    </row>
    <row r="44" spans="3:53" x14ac:dyDescent="0.25">
      <c r="D44" s="4" t="s">
        <v>18</v>
      </c>
      <c r="E44" s="8"/>
      <c r="F44" s="1" t="s">
        <v>33</v>
      </c>
      <c r="G44" t="s">
        <v>29</v>
      </c>
      <c r="H44" t="s">
        <v>30</v>
      </c>
      <c r="I44" t="s">
        <v>31</v>
      </c>
      <c r="J44" t="s">
        <v>32</v>
      </c>
      <c r="L44" s="9"/>
      <c r="N44" s="4" t="s">
        <v>18</v>
      </c>
      <c r="O44" s="8"/>
      <c r="P44" s="1">
        <v>4651</v>
      </c>
      <c r="Q44" s="1">
        <v>3968</v>
      </c>
      <c r="R44" s="1">
        <v>7317</v>
      </c>
      <c r="S44" s="1">
        <v>5389</v>
      </c>
      <c r="T44" s="1">
        <v>4768</v>
      </c>
      <c r="U44" s="20"/>
      <c r="V44" s="9"/>
      <c r="Y44" s="4" t="s">
        <v>18</v>
      </c>
      <c r="Z44" s="8"/>
      <c r="AA44" s="1">
        <f t="shared" si="53"/>
        <v>0.89482460078240234</v>
      </c>
      <c r="AB44" s="1">
        <f t="shared" si="54"/>
        <v>0.76341948310139163</v>
      </c>
      <c r="AC44" s="1">
        <f t="shared" si="55"/>
        <v>1.4077470659911497</v>
      </c>
      <c r="AD44" s="1">
        <f t="shared" si="56"/>
        <v>1.036811389726159</v>
      </c>
      <c r="AE44" s="1">
        <f t="shared" si="57"/>
        <v>0.91733470146860763</v>
      </c>
      <c r="AF44" s="1">
        <f t="shared" si="58"/>
        <v>0</v>
      </c>
      <c r="AG44" s="9"/>
      <c r="AH44" s="1"/>
    </row>
    <row r="45" spans="3:53" x14ac:dyDescent="0.25">
      <c r="D45" s="4" t="s">
        <v>19</v>
      </c>
      <c r="E45" s="8"/>
      <c r="F45" s="1" t="s">
        <v>34</v>
      </c>
      <c r="G45" s="1" t="s">
        <v>34</v>
      </c>
      <c r="H45" s="1" t="s">
        <v>34</v>
      </c>
      <c r="I45" s="1"/>
      <c r="J45" s="1"/>
      <c r="K45" s="1"/>
      <c r="L45" s="9"/>
      <c r="N45" s="4" t="s">
        <v>19</v>
      </c>
      <c r="O45" s="8"/>
      <c r="P45" s="1">
        <v>5636</v>
      </c>
      <c r="Q45" s="1">
        <v>5040</v>
      </c>
      <c r="R45" s="1">
        <v>4755</v>
      </c>
      <c r="S45" s="1"/>
      <c r="T45" s="1"/>
      <c r="U45" s="20"/>
      <c r="V45" s="9"/>
      <c r="Y45" s="4" t="s">
        <v>19</v>
      </c>
      <c r="Z45" s="8"/>
      <c r="AA45" s="1">
        <f t="shared" si="53"/>
        <v>1.0843327133970371</v>
      </c>
      <c r="AB45" s="1">
        <f t="shared" si="54"/>
        <v>0.96966587571346108</v>
      </c>
      <c r="AC45" s="1">
        <f t="shared" si="55"/>
        <v>0.91483357917014041</v>
      </c>
      <c r="AD45" s="1">
        <f t="shared" si="56"/>
        <v>0</v>
      </c>
      <c r="AE45" s="1">
        <f t="shared" si="57"/>
        <v>0</v>
      </c>
      <c r="AF45" s="1">
        <f t="shared" si="58"/>
        <v>0</v>
      </c>
      <c r="AG45" s="9"/>
      <c r="AH45" s="1"/>
    </row>
    <row r="46" spans="3:53" x14ac:dyDescent="0.25">
      <c r="D46" s="4" t="s">
        <v>20</v>
      </c>
      <c r="E46" s="10"/>
      <c r="F46" s="11"/>
      <c r="G46" s="11"/>
      <c r="H46" s="11"/>
      <c r="I46" s="11"/>
      <c r="J46" s="11"/>
      <c r="K46" s="11"/>
      <c r="L46" s="12"/>
      <c r="N46" s="4" t="s">
        <v>20</v>
      </c>
      <c r="O46" s="10"/>
      <c r="P46" s="11"/>
      <c r="Q46" s="11"/>
      <c r="R46" s="11"/>
      <c r="S46" s="11"/>
      <c r="T46" s="11"/>
      <c r="U46" s="21"/>
      <c r="V46" s="12"/>
      <c r="Y46" s="4" t="s">
        <v>20</v>
      </c>
      <c r="Z46" s="10"/>
      <c r="AA46" s="11"/>
      <c r="AB46" s="11"/>
      <c r="AC46" s="11"/>
      <c r="AD46" s="11"/>
      <c r="AE46" s="11"/>
      <c r="AF46" s="25"/>
      <c r="AG46" s="12"/>
      <c r="AH46" s="1"/>
    </row>
    <row r="48" spans="3:53" x14ac:dyDescent="0.25">
      <c r="C48" t="s">
        <v>40</v>
      </c>
      <c r="E48" s="4">
        <v>1</v>
      </c>
      <c r="F48" s="4">
        <v>2</v>
      </c>
      <c r="G48" s="4">
        <v>3</v>
      </c>
      <c r="H48" s="4">
        <v>4</v>
      </c>
      <c r="I48" s="4">
        <v>5</v>
      </c>
      <c r="J48" s="4">
        <v>6</v>
      </c>
      <c r="K48" s="4">
        <v>7</v>
      </c>
      <c r="L48" s="4">
        <v>8</v>
      </c>
      <c r="O48" s="4">
        <v>1</v>
      </c>
      <c r="P48" s="4">
        <v>2</v>
      </c>
      <c r="Q48" s="4">
        <v>3</v>
      </c>
      <c r="R48" s="4">
        <v>4</v>
      </c>
      <c r="S48" s="4">
        <v>5</v>
      </c>
      <c r="T48" s="4">
        <v>6</v>
      </c>
      <c r="U48" s="18">
        <v>7</v>
      </c>
      <c r="V48" s="4">
        <v>8</v>
      </c>
      <c r="Z48" s="4">
        <v>1</v>
      </c>
      <c r="AA48" s="4">
        <v>2</v>
      </c>
      <c r="AB48" s="4">
        <v>3</v>
      </c>
      <c r="AC48" s="4">
        <v>4</v>
      </c>
      <c r="AD48" s="4">
        <v>5</v>
      </c>
      <c r="AE48" s="4">
        <v>6</v>
      </c>
      <c r="AF48" s="23">
        <v>7</v>
      </c>
      <c r="AG48" s="4">
        <v>8</v>
      </c>
      <c r="AH48" s="4"/>
      <c r="AI48" t="s">
        <v>40</v>
      </c>
    </row>
    <row r="49" spans="3:37" x14ac:dyDescent="0.25">
      <c r="D49" s="4" t="s">
        <v>14</v>
      </c>
      <c r="E49" s="5"/>
      <c r="F49" s="6"/>
      <c r="G49" s="6"/>
      <c r="H49" s="6"/>
      <c r="I49" s="6"/>
      <c r="J49" s="6"/>
      <c r="K49" s="6"/>
      <c r="L49" s="7"/>
      <c r="N49" s="4" t="s">
        <v>14</v>
      </c>
      <c r="O49" s="5"/>
      <c r="P49" s="6"/>
      <c r="Q49" s="6"/>
      <c r="R49" s="6"/>
      <c r="S49" s="6"/>
      <c r="T49" s="6"/>
      <c r="U49" s="19"/>
      <c r="V49" s="7"/>
      <c r="Y49" s="4" t="s">
        <v>14</v>
      </c>
      <c r="Z49" s="5"/>
      <c r="AA49" s="6"/>
      <c r="AB49" s="6"/>
      <c r="AC49" s="6"/>
      <c r="AD49" s="6"/>
      <c r="AE49" s="6"/>
      <c r="AF49" s="24"/>
      <c r="AG49" s="7"/>
      <c r="AH49" s="1"/>
    </row>
    <row r="50" spans="3:37" x14ac:dyDescent="0.25">
      <c r="D50" s="4" t="s">
        <v>15</v>
      </c>
      <c r="E50" s="8"/>
      <c r="F50" s="1" t="s">
        <v>33</v>
      </c>
      <c r="G50" t="s">
        <v>29</v>
      </c>
      <c r="H50" t="s">
        <v>30</v>
      </c>
      <c r="I50" t="s">
        <v>31</v>
      </c>
      <c r="J50" t="s">
        <v>32</v>
      </c>
      <c r="K50" t="s">
        <v>16</v>
      </c>
      <c r="L50" s="9"/>
      <c r="N50" s="4" t="s">
        <v>15</v>
      </c>
      <c r="O50" s="8"/>
      <c r="P50" s="1">
        <v>5613</v>
      </c>
      <c r="Q50" s="1">
        <v>5954</v>
      </c>
      <c r="R50" s="1">
        <v>6112</v>
      </c>
      <c r="S50" s="1">
        <v>5962</v>
      </c>
      <c r="T50" s="1">
        <v>5613</v>
      </c>
      <c r="U50" s="20">
        <v>8612</v>
      </c>
      <c r="V50" s="9"/>
      <c r="W50">
        <f>AVERAGE(P50:P52)</f>
        <v>5358.666666666667</v>
      </c>
      <c r="Y50" s="4" t="s">
        <v>15</v>
      </c>
      <c r="Z50" s="8"/>
      <c r="AA50" s="1">
        <f>P50*1/$W$50</f>
        <v>1.0474620552376213</v>
      </c>
      <c r="AB50" s="1">
        <f t="shared" ref="AB50:AF50" si="59">Q50*1/$W$50</f>
        <v>1.1110972878825578</v>
      </c>
      <c r="AC50" s="1">
        <f t="shared" si="59"/>
        <v>1.1405822343866632</v>
      </c>
      <c r="AD50" s="1">
        <f t="shared" si="59"/>
        <v>1.1125901965663099</v>
      </c>
      <c r="AE50" s="1">
        <f t="shared" si="59"/>
        <v>1.0474620552376213</v>
      </c>
      <c r="AF50" s="1">
        <f t="shared" si="59"/>
        <v>1.6071161980592186</v>
      </c>
      <c r="AG50" s="9"/>
      <c r="AH50" s="1"/>
    </row>
    <row r="51" spans="3:37" x14ac:dyDescent="0.25">
      <c r="D51" s="4" t="s">
        <v>17</v>
      </c>
      <c r="E51" s="8"/>
      <c r="F51" s="1" t="s">
        <v>33</v>
      </c>
      <c r="G51" t="s">
        <v>29</v>
      </c>
      <c r="H51" t="s">
        <v>30</v>
      </c>
      <c r="I51" t="s">
        <v>31</v>
      </c>
      <c r="J51" t="s">
        <v>32</v>
      </c>
      <c r="K51" t="s">
        <v>16</v>
      </c>
      <c r="L51" s="9"/>
      <c r="N51" s="4" t="s">
        <v>17</v>
      </c>
      <c r="O51" s="8"/>
      <c r="P51" s="1">
        <v>4289</v>
      </c>
      <c r="Q51" s="1">
        <v>8193</v>
      </c>
      <c r="R51" s="1">
        <v>5512</v>
      </c>
      <c r="S51" s="1">
        <v>6425</v>
      </c>
      <c r="T51" s="1">
        <v>6174</v>
      </c>
      <c r="U51" s="20">
        <v>8105</v>
      </c>
      <c r="V51" s="9"/>
      <c r="Y51" s="4" t="s">
        <v>17</v>
      </c>
      <c r="Z51" s="8"/>
      <c r="AA51" s="1">
        <f t="shared" ref="AA51:AA53" si="60">P51*1/$W$50</f>
        <v>0.80038566807663591</v>
      </c>
      <c r="AB51" s="1">
        <f t="shared" ref="AB51:AB53" si="61">Q51*1/$W$50</f>
        <v>1.5289251057476982</v>
      </c>
      <c r="AC51" s="1">
        <f t="shared" ref="AC51:AC53" si="62">R51*1/$W$50</f>
        <v>1.0286140831052499</v>
      </c>
      <c r="AD51" s="1">
        <f t="shared" ref="AD51:AD53" si="63">S51*1/$W$50</f>
        <v>1.1989922866384672</v>
      </c>
      <c r="AE51" s="1">
        <f t="shared" ref="AE51:AE53" si="64">T51*1/$W$50</f>
        <v>1.1521522766857426</v>
      </c>
      <c r="AF51" s="1">
        <f t="shared" ref="AF51:AF53" si="65">U51*1/$W$50</f>
        <v>1.5125031102264244</v>
      </c>
      <c r="AG51" s="9"/>
      <c r="AH51" s="1"/>
    </row>
    <row r="52" spans="3:37" x14ac:dyDescent="0.25">
      <c r="D52" s="4" t="s">
        <v>18</v>
      </c>
      <c r="E52" s="8"/>
      <c r="F52" s="1" t="s">
        <v>33</v>
      </c>
      <c r="G52" t="s">
        <v>29</v>
      </c>
      <c r="H52" t="s">
        <v>30</v>
      </c>
      <c r="I52" t="s">
        <v>31</v>
      </c>
      <c r="J52" t="s">
        <v>32</v>
      </c>
      <c r="L52" s="9"/>
      <c r="N52" s="4" t="s">
        <v>18</v>
      </c>
      <c r="O52" s="8"/>
      <c r="P52" s="1">
        <v>6174</v>
      </c>
      <c r="Q52" s="1">
        <v>6394</v>
      </c>
      <c r="R52" s="1">
        <v>5764</v>
      </c>
      <c r="S52" s="1">
        <v>7127</v>
      </c>
      <c r="T52" s="1">
        <v>8193</v>
      </c>
      <c r="U52" s="20"/>
      <c r="V52" s="9"/>
      <c r="Y52" s="4" t="s">
        <v>18</v>
      </c>
      <c r="Z52" s="8"/>
      <c r="AA52" s="1">
        <f t="shared" si="60"/>
        <v>1.1521522766857426</v>
      </c>
      <c r="AB52" s="1">
        <f t="shared" si="61"/>
        <v>1.1932072654889274</v>
      </c>
      <c r="AC52" s="1">
        <f t="shared" si="62"/>
        <v>1.0756407066434437</v>
      </c>
      <c r="AD52" s="1">
        <f t="shared" si="63"/>
        <v>1.3299950236377207</v>
      </c>
      <c r="AE52" s="1">
        <f t="shared" si="64"/>
        <v>1.5289251057476982</v>
      </c>
      <c r="AF52" s="1">
        <f t="shared" si="65"/>
        <v>0</v>
      </c>
      <c r="AG52" s="9"/>
      <c r="AH52" s="1"/>
    </row>
    <row r="53" spans="3:37" x14ac:dyDescent="0.25">
      <c r="D53" s="4" t="s">
        <v>19</v>
      </c>
      <c r="E53" s="8"/>
      <c r="F53" s="1" t="s">
        <v>34</v>
      </c>
      <c r="G53" s="1" t="s">
        <v>34</v>
      </c>
      <c r="H53" s="1" t="s">
        <v>34</v>
      </c>
      <c r="I53" s="1"/>
      <c r="J53" s="1"/>
      <c r="K53" s="1"/>
      <c r="L53" s="9"/>
      <c r="N53" s="4" t="s">
        <v>19</v>
      </c>
      <c r="O53" s="8"/>
      <c r="P53" s="1">
        <v>6180</v>
      </c>
      <c r="Q53" s="1">
        <v>4992</v>
      </c>
      <c r="R53" s="1">
        <v>5190</v>
      </c>
      <c r="S53" s="1"/>
      <c r="T53" s="1"/>
      <c r="U53" s="20"/>
      <c r="V53" s="9"/>
      <c r="Y53" s="4" t="s">
        <v>19</v>
      </c>
      <c r="Z53" s="8"/>
      <c r="AA53" s="1">
        <f t="shared" si="60"/>
        <v>1.1532719581985569</v>
      </c>
      <c r="AB53" s="1">
        <f t="shared" si="61"/>
        <v>0.9315750186613585</v>
      </c>
      <c r="AC53" s="1">
        <f t="shared" si="62"/>
        <v>0.9685245085842249</v>
      </c>
      <c r="AD53" s="1">
        <f t="shared" si="63"/>
        <v>0</v>
      </c>
      <c r="AE53" s="1">
        <f t="shared" si="64"/>
        <v>0</v>
      </c>
      <c r="AF53" s="1">
        <f t="shared" si="65"/>
        <v>0</v>
      </c>
      <c r="AG53" s="9"/>
      <c r="AH53" s="1"/>
    </row>
    <row r="54" spans="3:37" x14ac:dyDescent="0.25">
      <c r="D54" s="4" t="s">
        <v>20</v>
      </c>
      <c r="E54" s="10"/>
      <c r="F54" s="11"/>
      <c r="G54" s="11"/>
      <c r="H54" s="11"/>
      <c r="I54" s="11"/>
      <c r="J54" s="11"/>
      <c r="K54" s="11"/>
      <c r="L54" s="12"/>
      <c r="N54" s="4" t="s">
        <v>20</v>
      </c>
      <c r="O54" s="10"/>
      <c r="P54" s="11"/>
      <c r="Q54" s="11"/>
      <c r="R54" s="11"/>
      <c r="S54" s="11"/>
      <c r="T54" s="11"/>
      <c r="U54" s="21"/>
      <c r="V54" s="12"/>
      <c r="Y54" s="4" t="s">
        <v>20</v>
      </c>
      <c r="Z54" s="10"/>
      <c r="AA54" s="11"/>
      <c r="AB54" s="11"/>
      <c r="AC54" s="11"/>
      <c r="AD54" s="11"/>
      <c r="AE54" s="11"/>
      <c r="AF54" s="25"/>
      <c r="AG54" s="12"/>
      <c r="AH54" s="1"/>
    </row>
    <row r="56" spans="3:37" x14ac:dyDescent="0.25">
      <c r="C56" t="s">
        <v>41</v>
      </c>
      <c r="E56" s="4">
        <v>1</v>
      </c>
      <c r="F56" s="4">
        <v>2</v>
      </c>
      <c r="G56" s="4">
        <v>3</v>
      </c>
      <c r="H56" s="4">
        <v>4</v>
      </c>
      <c r="I56" s="4">
        <v>5</v>
      </c>
      <c r="J56" s="4">
        <v>6</v>
      </c>
      <c r="K56" s="4">
        <v>7</v>
      </c>
      <c r="L56" s="4">
        <v>8</v>
      </c>
      <c r="O56" s="4">
        <v>1</v>
      </c>
      <c r="P56" s="4">
        <v>2</v>
      </c>
      <c r="Q56" s="4">
        <v>3</v>
      </c>
      <c r="R56" s="4">
        <v>4</v>
      </c>
      <c r="S56" s="4">
        <v>5</v>
      </c>
      <c r="T56" s="4">
        <v>6</v>
      </c>
      <c r="U56" s="18">
        <v>7</v>
      </c>
      <c r="V56" s="4">
        <v>8</v>
      </c>
      <c r="Z56" s="4">
        <v>1</v>
      </c>
      <c r="AA56" s="4">
        <v>2</v>
      </c>
      <c r="AB56" s="4">
        <v>3</v>
      </c>
      <c r="AC56" s="4">
        <v>4</v>
      </c>
      <c r="AD56" s="4">
        <v>5</v>
      </c>
      <c r="AE56" s="4">
        <v>6</v>
      </c>
      <c r="AF56" s="23">
        <v>7</v>
      </c>
      <c r="AG56" s="4">
        <v>8</v>
      </c>
      <c r="AH56" s="4"/>
      <c r="AI56" t="s">
        <v>41</v>
      </c>
    </row>
    <row r="57" spans="3:37" x14ac:dyDescent="0.25">
      <c r="D57" s="4" t="s">
        <v>14</v>
      </c>
      <c r="E57" s="5"/>
      <c r="F57" s="6"/>
      <c r="G57" s="6"/>
      <c r="H57" s="6"/>
      <c r="I57" s="6"/>
      <c r="J57" s="6"/>
      <c r="K57" s="6"/>
      <c r="L57" s="7"/>
      <c r="N57" s="4" t="s">
        <v>14</v>
      </c>
      <c r="O57" s="5"/>
      <c r="P57" s="6"/>
      <c r="Q57" s="6"/>
      <c r="R57" s="6"/>
      <c r="S57" s="6"/>
      <c r="T57" s="6"/>
      <c r="U57" s="19"/>
      <c r="V57" s="7"/>
      <c r="Y57" s="4" t="s">
        <v>14</v>
      </c>
      <c r="Z57" s="5"/>
      <c r="AA57" s="6"/>
      <c r="AB57" s="6"/>
      <c r="AC57" s="6"/>
      <c r="AD57" s="6"/>
      <c r="AE57" s="6"/>
      <c r="AF57" s="24"/>
      <c r="AG57" s="7"/>
      <c r="AH57" s="1"/>
    </row>
    <row r="58" spans="3:37" x14ac:dyDescent="0.25">
      <c r="D58" s="4" t="s">
        <v>15</v>
      </c>
      <c r="E58" s="8"/>
      <c r="F58" s="1" t="s">
        <v>33</v>
      </c>
      <c r="G58" s="3" t="s">
        <v>44</v>
      </c>
      <c r="H58" s="3" t="s">
        <v>45</v>
      </c>
      <c r="I58" s="3" t="s">
        <v>46</v>
      </c>
      <c r="J58" s="3" t="s">
        <v>47</v>
      </c>
      <c r="K58" t="s">
        <v>16</v>
      </c>
      <c r="L58" s="9"/>
      <c r="N58" s="4" t="s">
        <v>15</v>
      </c>
      <c r="O58" s="8"/>
      <c r="P58" s="1">
        <v>4219</v>
      </c>
      <c r="Q58" s="1">
        <v>4551</v>
      </c>
      <c r="R58" s="1">
        <v>6010</v>
      </c>
      <c r="S58" s="1">
        <v>4383</v>
      </c>
      <c r="T58" s="1">
        <v>4238</v>
      </c>
      <c r="U58" s="20">
        <v>6348</v>
      </c>
      <c r="V58" s="9"/>
      <c r="W58">
        <f>AVERAGE(P58:P60)</f>
        <v>4042</v>
      </c>
      <c r="Y58" s="4" t="s">
        <v>15</v>
      </c>
      <c r="Z58" s="8"/>
      <c r="AA58" s="1">
        <f>P58*1/$W$58</f>
        <v>1.0437902028698665</v>
      </c>
      <c r="AB58" s="1">
        <f t="shared" ref="AB58:AF58" si="66">Q58*1/$W$58</f>
        <v>1.1259277585353786</v>
      </c>
      <c r="AC58" s="1">
        <f t="shared" si="66"/>
        <v>1.4868876793666501</v>
      </c>
      <c r="AD58" s="1">
        <f t="shared" si="66"/>
        <v>1.0843641761504206</v>
      </c>
      <c r="AE58" s="1">
        <f t="shared" si="66"/>
        <v>1.0484908461157842</v>
      </c>
      <c r="AF58" s="1">
        <f t="shared" si="66"/>
        <v>1.570509648688768</v>
      </c>
      <c r="AG58" s="9"/>
      <c r="AH58" s="1"/>
    </row>
    <row r="59" spans="3:37" x14ac:dyDescent="0.25">
      <c r="D59" s="4" t="s">
        <v>17</v>
      </c>
      <c r="E59" s="8"/>
      <c r="F59" s="1" t="s">
        <v>33</v>
      </c>
      <c r="G59" s="3" t="s">
        <v>44</v>
      </c>
      <c r="H59" s="3" t="s">
        <v>45</v>
      </c>
      <c r="I59" s="3" t="s">
        <v>46</v>
      </c>
      <c r="J59" s="3" t="s">
        <v>47</v>
      </c>
      <c r="K59" t="s">
        <v>16</v>
      </c>
      <c r="L59" s="9"/>
      <c r="N59" s="4" t="s">
        <v>17</v>
      </c>
      <c r="O59" s="8"/>
      <c r="P59" s="1">
        <v>4079</v>
      </c>
      <c r="Q59" s="1">
        <v>4410</v>
      </c>
      <c r="R59" s="1">
        <v>4367</v>
      </c>
      <c r="S59" s="1">
        <v>3977</v>
      </c>
      <c r="T59" s="1">
        <v>4138</v>
      </c>
      <c r="U59" s="20">
        <v>5934</v>
      </c>
      <c r="V59" s="9"/>
      <c r="Y59" s="4" t="s">
        <v>17</v>
      </c>
      <c r="Z59" s="8"/>
      <c r="AA59" s="1">
        <f t="shared" ref="AA59:AA61" si="67">P59*1/$W$58</f>
        <v>1.0091538842157348</v>
      </c>
      <c r="AB59" s="1">
        <f t="shared" ref="AB59:AB61" si="68">Q59*1/$W$58</f>
        <v>1.091044037605146</v>
      </c>
      <c r="AC59" s="1">
        <f t="shared" ref="AC59:AC61" si="69">R59*1/$W$58</f>
        <v>1.0804057397328055</v>
      </c>
      <c r="AD59" s="1">
        <f t="shared" ref="AD59:AD61" si="70">S59*1/$W$58</f>
        <v>0.98391885205343887</v>
      </c>
      <c r="AE59" s="1">
        <f t="shared" ref="AE59:AE61" si="71">T59*1/$W$58</f>
        <v>1.0237506185056902</v>
      </c>
      <c r="AF59" s="1">
        <f t="shared" ref="AF59:AF61" si="72">U59*1/$W$58</f>
        <v>1.4680851063829787</v>
      </c>
      <c r="AG59" s="9"/>
      <c r="AH59" s="1"/>
      <c r="AK59" s="14"/>
    </row>
    <row r="60" spans="3:37" x14ac:dyDescent="0.25">
      <c r="D60" s="4" t="s">
        <v>18</v>
      </c>
      <c r="E60" s="8"/>
      <c r="F60" s="1" t="s">
        <v>33</v>
      </c>
      <c r="G60" s="3" t="s">
        <v>44</v>
      </c>
      <c r="H60" s="3" t="s">
        <v>45</v>
      </c>
      <c r="I60" s="3" t="s">
        <v>46</v>
      </c>
      <c r="J60" s="3" t="s">
        <v>47</v>
      </c>
      <c r="K60" s="1"/>
      <c r="L60" s="9"/>
      <c r="N60" s="4" t="s">
        <v>18</v>
      </c>
      <c r="O60" s="8"/>
      <c r="P60" s="1">
        <v>3828</v>
      </c>
      <c r="Q60" s="1">
        <v>3721</v>
      </c>
      <c r="R60" s="1">
        <v>4161</v>
      </c>
      <c r="S60" s="1">
        <v>4021</v>
      </c>
      <c r="T60" s="1">
        <v>3965</v>
      </c>
      <c r="U60" s="20"/>
      <c r="V60" s="9"/>
      <c r="Y60" s="4" t="s">
        <v>18</v>
      </c>
      <c r="Z60" s="8"/>
      <c r="AA60" s="1">
        <f t="shared" si="67"/>
        <v>0.94705591291439883</v>
      </c>
      <c r="AB60" s="1">
        <f t="shared" si="68"/>
        <v>0.9205838693715982</v>
      </c>
      <c r="AC60" s="1">
        <f t="shared" si="69"/>
        <v>1.0294408708560119</v>
      </c>
      <c r="AD60" s="1">
        <f t="shared" si="70"/>
        <v>0.99480455220188024</v>
      </c>
      <c r="AE60" s="1">
        <f t="shared" si="71"/>
        <v>0.98095002474022763</v>
      </c>
      <c r="AF60" s="1">
        <f t="shared" si="72"/>
        <v>0</v>
      </c>
      <c r="AG60" s="9"/>
      <c r="AH60" s="1"/>
      <c r="AK60" s="14"/>
    </row>
    <row r="61" spans="3:37" x14ac:dyDescent="0.25">
      <c r="D61" s="4" t="s">
        <v>19</v>
      </c>
      <c r="E61" s="8"/>
      <c r="F61" s="1" t="s">
        <v>34</v>
      </c>
      <c r="G61" s="1" t="s">
        <v>34</v>
      </c>
      <c r="H61" s="1" t="s">
        <v>34</v>
      </c>
      <c r="I61" s="1"/>
      <c r="J61" s="1"/>
      <c r="K61" s="1"/>
      <c r="L61" s="9"/>
      <c r="N61" s="4" t="s">
        <v>19</v>
      </c>
      <c r="O61" s="8"/>
      <c r="P61" s="1">
        <v>3983</v>
      </c>
      <c r="Q61" s="1">
        <v>3871</v>
      </c>
      <c r="R61" s="1">
        <v>3817</v>
      </c>
      <c r="S61" s="1"/>
      <c r="T61" s="1"/>
      <c r="U61" s="20"/>
      <c r="V61" s="9"/>
      <c r="Y61" s="4" t="s">
        <v>19</v>
      </c>
      <c r="Z61" s="8"/>
      <c r="AA61" s="1">
        <f t="shared" si="67"/>
        <v>0.98540326571004455</v>
      </c>
      <c r="AB61" s="1">
        <f t="shared" si="68"/>
        <v>0.95769421078673922</v>
      </c>
      <c r="AC61" s="1">
        <f t="shared" si="69"/>
        <v>0.94433448787728846</v>
      </c>
      <c r="AD61" s="1">
        <f t="shared" si="70"/>
        <v>0</v>
      </c>
      <c r="AE61" s="1">
        <f t="shared" si="71"/>
        <v>0</v>
      </c>
      <c r="AF61" s="1">
        <f t="shared" si="72"/>
        <v>0</v>
      </c>
      <c r="AG61" s="9"/>
      <c r="AH61" s="1"/>
      <c r="AK61" s="14"/>
    </row>
    <row r="62" spans="3:37" x14ac:dyDescent="0.25">
      <c r="D62" s="4" t="s">
        <v>20</v>
      </c>
      <c r="E62" s="10"/>
      <c r="F62" s="11"/>
      <c r="G62" s="11"/>
      <c r="H62" s="11"/>
      <c r="I62" s="11"/>
      <c r="J62" s="11"/>
      <c r="K62" s="11"/>
      <c r="L62" s="12"/>
      <c r="N62" s="4" t="s">
        <v>20</v>
      </c>
      <c r="O62" s="10"/>
      <c r="P62" s="11"/>
      <c r="Q62" s="11"/>
      <c r="R62" s="11"/>
      <c r="S62" s="11"/>
      <c r="T62" s="11"/>
      <c r="U62" s="21"/>
      <c r="V62" s="12"/>
      <c r="Y62" s="4" t="s">
        <v>20</v>
      </c>
      <c r="Z62" s="10"/>
      <c r="AA62" s="11"/>
      <c r="AB62" s="11"/>
      <c r="AC62" s="11"/>
      <c r="AD62" s="11"/>
      <c r="AE62" s="11"/>
      <c r="AF62" s="25"/>
      <c r="AG62" s="12"/>
      <c r="AH62" s="1"/>
      <c r="AK62" s="14"/>
    </row>
    <row r="63" spans="3:37" x14ac:dyDescent="0.25">
      <c r="AK63" s="14"/>
    </row>
    <row r="64" spans="3:37" x14ac:dyDescent="0.25">
      <c r="C64" t="s">
        <v>42</v>
      </c>
      <c r="E64" s="4">
        <v>1</v>
      </c>
      <c r="F64" s="4">
        <v>2</v>
      </c>
      <c r="G64" s="4">
        <v>3</v>
      </c>
      <c r="H64" s="4">
        <v>4</v>
      </c>
      <c r="I64" s="4">
        <v>5</v>
      </c>
      <c r="J64" s="4">
        <v>6</v>
      </c>
      <c r="K64" s="4">
        <v>7</v>
      </c>
      <c r="L64" s="4">
        <v>8</v>
      </c>
      <c r="O64" s="4">
        <v>1</v>
      </c>
      <c r="P64" s="4">
        <v>2</v>
      </c>
      <c r="Q64" s="4">
        <v>3</v>
      </c>
      <c r="R64" s="4">
        <v>4</v>
      </c>
      <c r="S64" s="4">
        <v>5</v>
      </c>
      <c r="T64" s="4">
        <v>6</v>
      </c>
      <c r="U64" s="18">
        <v>7</v>
      </c>
      <c r="V64" s="4">
        <v>8</v>
      </c>
      <c r="Z64" s="4">
        <v>1</v>
      </c>
      <c r="AA64" s="4">
        <v>2</v>
      </c>
      <c r="AB64" s="4">
        <v>3</v>
      </c>
      <c r="AC64" s="4">
        <v>4</v>
      </c>
      <c r="AD64" s="4">
        <v>5</v>
      </c>
      <c r="AE64" s="4">
        <v>6</v>
      </c>
      <c r="AF64" s="23">
        <v>7</v>
      </c>
      <c r="AG64" s="4">
        <v>8</v>
      </c>
      <c r="AH64" s="4"/>
      <c r="AI64" t="s">
        <v>42</v>
      </c>
      <c r="AK64" s="14"/>
    </row>
    <row r="65" spans="3:35" x14ac:dyDescent="0.25">
      <c r="D65" s="4" t="s">
        <v>14</v>
      </c>
      <c r="E65" s="5"/>
      <c r="F65" s="6"/>
      <c r="G65" s="6"/>
      <c r="H65" s="6"/>
      <c r="I65" s="6"/>
      <c r="J65" s="6"/>
      <c r="K65" s="6"/>
      <c r="L65" s="7"/>
      <c r="N65" s="4" t="s">
        <v>14</v>
      </c>
      <c r="O65" s="5"/>
      <c r="P65" s="6"/>
      <c r="Q65" s="6"/>
      <c r="R65" s="6"/>
      <c r="S65" s="6"/>
      <c r="T65" s="6"/>
      <c r="U65" s="19"/>
      <c r="V65" s="7"/>
      <c r="Y65" s="4" t="s">
        <v>14</v>
      </c>
      <c r="Z65" s="5"/>
      <c r="AA65" s="6"/>
      <c r="AB65" s="6"/>
      <c r="AC65" s="6"/>
      <c r="AD65" s="6"/>
      <c r="AE65" s="6"/>
      <c r="AF65" s="24"/>
      <c r="AG65" s="7"/>
      <c r="AH65" s="1"/>
    </row>
    <row r="66" spans="3:35" x14ac:dyDescent="0.25">
      <c r="D66" s="4" t="s">
        <v>15</v>
      </c>
      <c r="E66" s="8"/>
      <c r="F66" s="1" t="s">
        <v>33</v>
      </c>
      <c r="G66" s="3" t="s">
        <v>44</v>
      </c>
      <c r="H66" s="3" t="s">
        <v>45</v>
      </c>
      <c r="I66" s="3" t="s">
        <v>46</v>
      </c>
      <c r="J66" s="3" t="s">
        <v>47</v>
      </c>
      <c r="K66" t="s">
        <v>16</v>
      </c>
      <c r="L66" s="9"/>
      <c r="N66" s="4" t="s">
        <v>15</v>
      </c>
      <c r="O66" s="8"/>
      <c r="P66" s="1">
        <v>5850</v>
      </c>
      <c r="Q66" s="1">
        <v>6000</v>
      </c>
      <c r="R66" s="1">
        <v>7112</v>
      </c>
      <c r="S66" s="1">
        <v>5849</v>
      </c>
      <c r="T66" s="1">
        <v>5680.0000000000009</v>
      </c>
      <c r="U66" s="20">
        <v>8130</v>
      </c>
      <c r="V66" s="16"/>
      <c r="W66">
        <f>AVERAGE(P66:P68)</f>
        <v>5622.333333333333</v>
      </c>
      <c r="Y66" s="4" t="s">
        <v>15</v>
      </c>
      <c r="Z66" s="8"/>
      <c r="AA66" s="1">
        <f>P66*1/$W$66</f>
        <v>1.0404932708839747</v>
      </c>
      <c r="AB66" s="1">
        <f t="shared" ref="AB66:AF66" si="73">Q66*1/$W$66</f>
        <v>1.0671725855220253</v>
      </c>
      <c r="AC66" s="1">
        <f t="shared" si="73"/>
        <v>1.2649552380387741</v>
      </c>
      <c r="AD66" s="1">
        <f t="shared" si="73"/>
        <v>1.0403154087863877</v>
      </c>
      <c r="AE66" s="1">
        <f t="shared" si="73"/>
        <v>1.0102567142941841</v>
      </c>
      <c r="AF66" s="1">
        <f t="shared" si="73"/>
        <v>1.4460188533823444</v>
      </c>
      <c r="AG66" s="9"/>
      <c r="AH66" s="1"/>
    </row>
    <row r="67" spans="3:35" x14ac:dyDescent="0.25">
      <c r="D67" s="4" t="s">
        <v>17</v>
      </c>
      <c r="E67" s="8"/>
      <c r="F67" s="1" t="s">
        <v>33</v>
      </c>
      <c r="G67" s="3" t="s">
        <v>44</v>
      </c>
      <c r="H67" s="3" t="s">
        <v>45</v>
      </c>
      <c r="I67" s="3" t="s">
        <v>46</v>
      </c>
      <c r="J67" s="3" t="s">
        <v>47</v>
      </c>
      <c r="K67" t="s">
        <v>16</v>
      </c>
      <c r="L67" s="9"/>
      <c r="N67" s="4" t="s">
        <v>17</v>
      </c>
      <c r="O67" s="8"/>
      <c r="P67" s="1">
        <v>5680</v>
      </c>
      <c r="Q67" s="1">
        <v>5688</v>
      </c>
      <c r="R67" s="1">
        <v>6045</v>
      </c>
      <c r="S67" s="1">
        <v>5337</v>
      </c>
      <c r="T67" s="1">
        <v>6784</v>
      </c>
      <c r="U67" s="20">
        <v>9020</v>
      </c>
      <c r="V67" s="16"/>
      <c r="Y67" s="4" t="s">
        <v>17</v>
      </c>
      <c r="Z67" s="8"/>
      <c r="AA67" s="1">
        <f>P67*1/$W$66</f>
        <v>1.0102567142941841</v>
      </c>
      <c r="AB67" s="1">
        <f t="shared" ref="AB67:AB68" si="74">Q67*1/$W$66</f>
        <v>1.01167961107488</v>
      </c>
      <c r="AC67" s="1">
        <f t="shared" ref="AC67:AC68" si="75">R67*1/$W$66</f>
        <v>1.0751763799134404</v>
      </c>
      <c r="AD67" s="1">
        <f t="shared" ref="AD67:AD68" si="76">S67*1/$W$66</f>
        <v>0.94925001482184157</v>
      </c>
      <c r="AE67" s="1">
        <f t="shared" ref="AE67:AE68" si="77">T67*1/$W$66</f>
        <v>1.2066164700302366</v>
      </c>
      <c r="AF67" s="1">
        <f t="shared" ref="AF67:AF68" si="78">U67*1/$W$66</f>
        <v>1.604316120234778</v>
      </c>
      <c r="AG67" s="9"/>
      <c r="AH67" s="1"/>
    </row>
    <row r="68" spans="3:35" x14ac:dyDescent="0.25">
      <c r="D68" s="4" t="s">
        <v>18</v>
      </c>
      <c r="E68" s="8"/>
      <c r="F68" s="1" t="s">
        <v>33</v>
      </c>
      <c r="G68" s="3" t="s">
        <v>44</v>
      </c>
      <c r="H68" s="3" t="s">
        <v>45</v>
      </c>
      <c r="I68" s="3" t="s">
        <v>46</v>
      </c>
      <c r="J68" s="3" t="s">
        <v>47</v>
      </c>
      <c r="K68" s="1"/>
      <c r="L68" s="9"/>
      <c r="N68" s="4" t="s">
        <v>18</v>
      </c>
      <c r="O68" s="8"/>
      <c r="P68" s="1">
        <v>5337</v>
      </c>
      <c r="Q68" s="1">
        <v>5778</v>
      </c>
      <c r="R68" s="1">
        <v>5991</v>
      </c>
      <c r="S68" s="1">
        <v>6786</v>
      </c>
      <c r="T68" s="1">
        <v>6357.0000000000009</v>
      </c>
      <c r="U68" s="20"/>
      <c r="V68" s="16"/>
      <c r="Y68" s="4" t="s">
        <v>18</v>
      </c>
      <c r="Z68" s="8"/>
      <c r="AA68" s="1">
        <f>P68*1/$W$66</f>
        <v>0.94925001482184157</v>
      </c>
      <c r="AB68" s="1">
        <f t="shared" si="74"/>
        <v>1.0276871998577104</v>
      </c>
      <c r="AC68" s="1">
        <f t="shared" si="75"/>
        <v>1.0655718266437422</v>
      </c>
      <c r="AD68" s="1">
        <f t="shared" si="76"/>
        <v>1.2069721942254106</v>
      </c>
      <c r="AE68" s="1">
        <f t="shared" si="77"/>
        <v>1.1306693543605859</v>
      </c>
      <c r="AF68" s="1">
        <f t="shared" si="78"/>
        <v>0</v>
      </c>
      <c r="AG68" s="9"/>
      <c r="AH68" s="1"/>
    </row>
    <row r="69" spans="3:35" x14ac:dyDescent="0.25">
      <c r="D69" s="4" t="s">
        <v>19</v>
      </c>
      <c r="E69" s="8"/>
      <c r="F69" s="1" t="s">
        <v>34</v>
      </c>
      <c r="G69" s="1" t="s">
        <v>34</v>
      </c>
      <c r="H69" s="1" t="s">
        <v>34</v>
      </c>
      <c r="I69" s="1"/>
      <c r="J69" s="1"/>
      <c r="K69" s="1"/>
      <c r="L69" s="9"/>
      <c r="N69" s="4" t="s">
        <v>19</v>
      </c>
      <c r="O69" s="8"/>
      <c r="P69" s="1">
        <v>4500</v>
      </c>
      <c r="Q69" s="1">
        <v>6477</v>
      </c>
      <c r="R69" s="1">
        <v>5570</v>
      </c>
      <c r="S69" s="1"/>
      <c r="T69" s="1"/>
      <c r="U69" s="20"/>
      <c r="V69" s="9"/>
      <c r="Y69" s="4" t="s">
        <v>19</v>
      </c>
      <c r="Z69" s="8"/>
      <c r="AA69" s="1">
        <f>P69*1/$W$66</f>
        <v>0.80037943914151899</v>
      </c>
      <c r="AB69" s="1">
        <f t="shared" ref="AB69" si="79">Q69*1/$W$66</f>
        <v>1.1520128060710264</v>
      </c>
      <c r="AC69" s="1">
        <f t="shared" ref="AC69" si="80">R69*1/$W$66</f>
        <v>0.99069188355961346</v>
      </c>
      <c r="AD69" s="1">
        <f t="shared" ref="AD69" si="81">S69*1/$W$66</f>
        <v>0</v>
      </c>
      <c r="AE69" s="1">
        <f t="shared" ref="AE69" si="82">T69*1/$W$66</f>
        <v>0</v>
      </c>
      <c r="AF69" s="1">
        <f t="shared" ref="AF69" si="83">U69*1/$W$66</f>
        <v>0</v>
      </c>
      <c r="AG69" s="9"/>
      <c r="AH69" s="1"/>
    </row>
    <row r="70" spans="3:35" x14ac:dyDescent="0.25">
      <c r="D70" s="4" t="s">
        <v>20</v>
      </c>
      <c r="E70" s="10"/>
      <c r="F70" s="11"/>
      <c r="G70" s="11"/>
      <c r="H70" s="11"/>
      <c r="I70" s="11"/>
      <c r="J70" s="11"/>
      <c r="K70" s="11"/>
      <c r="L70" s="12"/>
      <c r="N70" s="4" t="s">
        <v>20</v>
      </c>
      <c r="O70" s="10"/>
      <c r="P70" s="11"/>
      <c r="Q70" s="11"/>
      <c r="R70" s="11"/>
      <c r="S70" s="11"/>
      <c r="T70" s="11"/>
      <c r="U70" s="21"/>
      <c r="V70" s="12"/>
      <c r="Y70" s="4" t="s">
        <v>20</v>
      </c>
      <c r="Z70" s="10"/>
      <c r="AA70" s="11"/>
      <c r="AB70" s="11"/>
      <c r="AC70" s="11"/>
      <c r="AD70" s="11"/>
      <c r="AE70" s="11"/>
      <c r="AF70" s="25"/>
      <c r="AG70" s="12"/>
      <c r="AH70" s="1"/>
    </row>
    <row r="72" spans="3:35" x14ac:dyDescent="0.25">
      <c r="C72" t="s">
        <v>43</v>
      </c>
      <c r="E72" s="4">
        <v>1</v>
      </c>
      <c r="F72" s="4">
        <v>2</v>
      </c>
      <c r="G72" s="4">
        <v>3</v>
      </c>
      <c r="H72" s="4">
        <v>4</v>
      </c>
      <c r="I72" s="4">
        <v>5</v>
      </c>
      <c r="J72" s="4">
        <v>6</v>
      </c>
      <c r="K72" s="4">
        <v>7</v>
      </c>
      <c r="L72" s="4">
        <v>8</v>
      </c>
      <c r="O72" s="4">
        <v>1</v>
      </c>
      <c r="P72" s="4">
        <v>2</v>
      </c>
      <c r="Q72" s="4">
        <v>3</v>
      </c>
      <c r="R72" s="4">
        <v>4</v>
      </c>
      <c r="S72" s="4">
        <v>5</v>
      </c>
      <c r="T72" s="4">
        <v>6</v>
      </c>
      <c r="U72" s="18">
        <v>7</v>
      </c>
      <c r="V72" s="4">
        <v>8</v>
      </c>
      <c r="Z72" s="4">
        <v>1</v>
      </c>
      <c r="AA72" s="4">
        <v>2</v>
      </c>
      <c r="AB72" s="4">
        <v>3</v>
      </c>
      <c r="AC72" s="4">
        <v>4</v>
      </c>
      <c r="AD72" s="4">
        <v>5</v>
      </c>
      <c r="AE72" s="4">
        <v>6</v>
      </c>
      <c r="AF72" s="23">
        <v>7</v>
      </c>
      <c r="AG72" s="4">
        <v>8</v>
      </c>
      <c r="AH72" s="4"/>
      <c r="AI72" t="s">
        <v>43</v>
      </c>
    </row>
    <row r="73" spans="3:35" x14ac:dyDescent="0.25">
      <c r="D73" s="4" t="s">
        <v>14</v>
      </c>
      <c r="E73" s="5"/>
      <c r="F73" s="6"/>
      <c r="G73" s="6"/>
      <c r="H73" s="6"/>
      <c r="I73" s="6"/>
      <c r="J73" s="6"/>
      <c r="K73" s="6"/>
      <c r="L73" s="7"/>
      <c r="N73" s="4" t="s">
        <v>14</v>
      </c>
      <c r="O73" s="5"/>
      <c r="P73" s="6"/>
      <c r="Q73" s="6"/>
      <c r="R73" s="6"/>
      <c r="S73" s="6"/>
      <c r="T73" s="6"/>
      <c r="U73" s="19"/>
      <c r="V73" s="7"/>
      <c r="Y73" s="4" t="s">
        <v>14</v>
      </c>
      <c r="Z73" s="5"/>
      <c r="AA73" s="6"/>
      <c r="AB73" s="6"/>
      <c r="AC73" s="6"/>
      <c r="AD73" s="6"/>
      <c r="AE73" s="6"/>
      <c r="AF73" s="24"/>
      <c r="AG73" s="7"/>
      <c r="AH73" s="1"/>
    </row>
    <row r="74" spans="3:35" x14ac:dyDescent="0.25">
      <c r="D74" s="4" t="s">
        <v>15</v>
      </c>
      <c r="E74" s="8"/>
      <c r="F74" s="1" t="s">
        <v>33</v>
      </c>
      <c r="G74" s="3" t="s">
        <v>44</v>
      </c>
      <c r="H74" s="3" t="s">
        <v>45</v>
      </c>
      <c r="I74" s="3" t="s">
        <v>46</v>
      </c>
      <c r="J74" s="3" t="s">
        <v>47</v>
      </c>
      <c r="K74" t="s">
        <v>16</v>
      </c>
      <c r="L74" s="9"/>
      <c r="N74" s="4" t="s">
        <v>15</v>
      </c>
      <c r="O74" s="8"/>
      <c r="P74" s="1">
        <v>5292</v>
      </c>
      <c r="Q74" s="1">
        <v>5521</v>
      </c>
      <c r="R74" s="1">
        <v>5817</v>
      </c>
      <c r="S74" s="1">
        <v>5292</v>
      </c>
      <c r="T74" s="1">
        <v>5044</v>
      </c>
      <c r="U74" s="20">
        <v>7966</v>
      </c>
      <c r="V74" s="16"/>
      <c r="W74">
        <f>AVERAGE(P74:P76)</f>
        <v>5018.333333333333</v>
      </c>
      <c r="Y74" s="4" t="s">
        <v>15</v>
      </c>
      <c r="Z74" s="8"/>
      <c r="AA74" s="1">
        <f>P74*1/$W$74</f>
        <v>1.0545333776154102</v>
      </c>
      <c r="AB74" s="1">
        <f t="shared" ref="AB74:AF74" si="84">Q74*1/$W$74</f>
        <v>1.1001660577881103</v>
      </c>
      <c r="AC74" s="1">
        <f t="shared" si="84"/>
        <v>1.1591497841248755</v>
      </c>
      <c r="AD74" s="1">
        <f t="shared" si="84"/>
        <v>1.0545333776154102</v>
      </c>
      <c r="AE74" s="1">
        <f t="shared" si="84"/>
        <v>1.0051145798737962</v>
      </c>
      <c r="AF74" s="1">
        <f t="shared" si="84"/>
        <v>1.5873796081036202</v>
      </c>
      <c r="AG74" s="9"/>
      <c r="AH74" s="1"/>
    </row>
    <row r="75" spans="3:35" x14ac:dyDescent="0.25">
      <c r="D75" s="4" t="s">
        <v>17</v>
      </c>
      <c r="E75" s="8"/>
      <c r="F75" s="1" t="s">
        <v>33</v>
      </c>
      <c r="G75" s="3" t="s">
        <v>44</v>
      </c>
      <c r="H75" s="3" t="s">
        <v>45</v>
      </c>
      <c r="I75" s="3" t="s">
        <v>46</v>
      </c>
      <c r="J75" s="3" t="s">
        <v>47</v>
      </c>
      <c r="K75" t="s">
        <v>16</v>
      </c>
      <c r="L75" s="9"/>
      <c r="N75" s="4" t="s">
        <v>17</v>
      </c>
      <c r="O75" s="8"/>
      <c r="P75" s="1">
        <v>5044</v>
      </c>
      <c r="Q75" s="1">
        <v>5186</v>
      </c>
      <c r="R75" s="1">
        <v>5150</v>
      </c>
      <c r="S75" s="1">
        <v>4719</v>
      </c>
      <c r="T75" s="1">
        <v>6461</v>
      </c>
      <c r="U75" s="20">
        <v>8073</v>
      </c>
      <c r="V75" s="16"/>
      <c r="Y75" s="4" t="s">
        <v>17</v>
      </c>
      <c r="Z75" s="8"/>
      <c r="AA75" s="1">
        <f t="shared" ref="AA75:AA77" si="85">P75*1/$W$74</f>
        <v>1.0051145798737962</v>
      </c>
      <c r="AB75" s="1">
        <f t="shared" ref="AB75:AB77" si="86">Q75*1/$W$74</f>
        <v>1.0334108269677849</v>
      </c>
      <c r="AC75" s="1">
        <f t="shared" ref="AC75:AC77" si="87">R75*1/$W$74</f>
        <v>1.0262371305214215</v>
      </c>
      <c r="AD75" s="1">
        <f t="shared" ref="AD75:AD77" si="88">S75*1/$W$74</f>
        <v>0.94035204251079385</v>
      </c>
      <c r="AE75" s="1">
        <f t="shared" ref="AE75:AE77" si="89">T75*1/$W$74</f>
        <v>1.2874792427764863</v>
      </c>
      <c r="AF75" s="1">
        <f t="shared" ref="AF75:AF77" si="90">U75*1/$W$74</f>
        <v>1.6087014280969778</v>
      </c>
      <c r="AG75" s="9"/>
      <c r="AH75" s="1"/>
    </row>
    <row r="76" spans="3:35" x14ac:dyDescent="0.25">
      <c r="D76" s="4" t="s">
        <v>18</v>
      </c>
      <c r="E76" s="8"/>
      <c r="F76" s="1" t="s">
        <v>33</v>
      </c>
      <c r="G76" s="3" t="s">
        <v>44</v>
      </c>
      <c r="H76" s="3" t="s">
        <v>45</v>
      </c>
      <c r="I76" s="3" t="s">
        <v>46</v>
      </c>
      <c r="J76" s="3" t="s">
        <v>47</v>
      </c>
      <c r="K76" s="1"/>
      <c r="L76" s="9"/>
      <c r="N76" s="4" t="s">
        <v>18</v>
      </c>
      <c r="O76" s="8"/>
      <c r="P76" s="1">
        <v>4719</v>
      </c>
      <c r="Q76" s="1">
        <v>4882</v>
      </c>
      <c r="R76" s="1">
        <v>4450</v>
      </c>
      <c r="S76" s="1">
        <v>5646</v>
      </c>
      <c r="T76" s="1">
        <v>5099</v>
      </c>
      <c r="U76" s="20"/>
      <c r="V76" s="16"/>
      <c r="Y76" s="4" t="s">
        <v>18</v>
      </c>
      <c r="Z76" s="8"/>
      <c r="AA76" s="1">
        <f t="shared" si="85"/>
        <v>0.94035204251079385</v>
      </c>
      <c r="AB76" s="1">
        <f t="shared" si="86"/>
        <v>0.97283294586516111</v>
      </c>
      <c r="AC76" s="1">
        <f t="shared" si="87"/>
        <v>0.88674858850880112</v>
      </c>
      <c r="AD76" s="1">
        <f t="shared" si="88"/>
        <v>1.1250747260046496</v>
      </c>
      <c r="AE76" s="1">
        <f t="shared" si="89"/>
        <v>1.0160743938890735</v>
      </c>
      <c r="AF76" s="1">
        <f t="shared" si="90"/>
        <v>0</v>
      </c>
      <c r="AG76" s="9"/>
      <c r="AH76" s="1"/>
    </row>
    <row r="77" spans="3:35" x14ac:dyDescent="0.25">
      <c r="D77" s="4" t="s">
        <v>19</v>
      </c>
      <c r="E77" s="8"/>
      <c r="F77" s="1" t="s">
        <v>34</v>
      </c>
      <c r="G77" s="1" t="s">
        <v>34</v>
      </c>
      <c r="H77" s="1" t="s">
        <v>34</v>
      </c>
      <c r="I77" s="1"/>
      <c r="J77" s="1"/>
      <c r="K77" s="1"/>
      <c r="L77" s="9"/>
      <c r="N77" s="4" t="s">
        <v>19</v>
      </c>
      <c r="O77" s="8"/>
      <c r="P77" s="1">
        <v>4807</v>
      </c>
      <c r="Q77" s="1">
        <v>5170</v>
      </c>
      <c r="R77" s="1">
        <v>5442</v>
      </c>
      <c r="S77" s="1"/>
      <c r="T77" s="1"/>
      <c r="U77" s="20"/>
      <c r="V77" s="9"/>
      <c r="Y77" s="4" t="s">
        <v>19</v>
      </c>
      <c r="Z77" s="8"/>
      <c r="AA77" s="1">
        <f t="shared" si="85"/>
        <v>0.95788774493523754</v>
      </c>
      <c r="AB77" s="1">
        <f t="shared" si="86"/>
        <v>1.0302225174360677</v>
      </c>
      <c r="AC77" s="1">
        <f t="shared" si="87"/>
        <v>1.0844237794752574</v>
      </c>
      <c r="AD77" s="1">
        <f t="shared" si="88"/>
        <v>0</v>
      </c>
      <c r="AE77" s="1">
        <f t="shared" si="89"/>
        <v>0</v>
      </c>
      <c r="AF77" s="1">
        <f t="shared" si="90"/>
        <v>0</v>
      </c>
      <c r="AG77" s="9"/>
      <c r="AH77" s="1"/>
    </row>
    <row r="78" spans="3:35" x14ac:dyDescent="0.25">
      <c r="D78" s="4" t="s">
        <v>20</v>
      </c>
      <c r="E78" s="10"/>
      <c r="F78" s="11"/>
      <c r="G78" s="11"/>
      <c r="H78" s="11"/>
      <c r="I78" s="11"/>
      <c r="J78" s="11"/>
      <c r="K78" s="11"/>
      <c r="L78" s="12"/>
      <c r="N78" s="4" t="s">
        <v>20</v>
      </c>
      <c r="O78" s="10"/>
      <c r="P78" s="11"/>
      <c r="Q78" s="11"/>
      <c r="R78" s="11"/>
      <c r="S78" s="11"/>
      <c r="T78" s="11"/>
      <c r="U78" s="21"/>
      <c r="V78" s="12"/>
      <c r="Y78" s="4" t="s">
        <v>20</v>
      </c>
      <c r="Z78" s="10"/>
      <c r="AA78" s="11"/>
      <c r="AB78" s="11"/>
      <c r="AC78" s="11"/>
      <c r="AD78" s="11"/>
      <c r="AE78" s="11"/>
      <c r="AF78" s="25"/>
      <c r="AG78" s="12"/>
      <c r="AH78" s="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8:AU40"/>
  <sheetViews>
    <sheetView tabSelected="1" topLeftCell="X2" zoomScale="90" zoomScaleNormal="90" workbookViewId="0">
      <selection activeCell="AH25" sqref="AH25"/>
    </sheetView>
  </sheetViews>
  <sheetFormatPr baseColWidth="10" defaultRowHeight="15" x14ac:dyDescent="0.25"/>
  <cols>
    <col min="5" max="5" width="18" bestFit="1" customWidth="1"/>
    <col min="6" max="6" width="23.42578125" bestFit="1" customWidth="1"/>
    <col min="7" max="7" width="21.5703125" bestFit="1" customWidth="1"/>
    <col min="8" max="8" width="22.5703125" bestFit="1" customWidth="1"/>
    <col min="9" max="9" width="21.85546875" bestFit="1" customWidth="1"/>
    <col min="10" max="10" width="22.7109375" bestFit="1" customWidth="1"/>
    <col min="38" max="38" width="15.85546875" bestFit="1" customWidth="1"/>
    <col min="40" max="40" width="16.140625" bestFit="1" customWidth="1"/>
    <col min="41" max="42" width="14.7109375" bestFit="1" customWidth="1"/>
    <col min="44" max="44" width="16.42578125" bestFit="1" customWidth="1"/>
    <col min="45" max="45" width="18.85546875" bestFit="1" customWidth="1"/>
  </cols>
  <sheetData>
    <row r="8" spans="2:47" x14ac:dyDescent="0.25">
      <c r="B8" t="s">
        <v>35</v>
      </c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N8" s="4">
        <v>1</v>
      </c>
      <c r="O8" s="4">
        <v>2</v>
      </c>
      <c r="P8" s="4">
        <v>3</v>
      </c>
      <c r="Q8" s="4">
        <v>4</v>
      </c>
      <c r="R8" s="4">
        <v>5</v>
      </c>
      <c r="S8" s="4">
        <v>6</v>
      </c>
      <c r="T8" s="4">
        <v>7</v>
      </c>
      <c r="U8" s="4">
        <v>8</v>
      </c>
      <c r="Y8" s="4">
        <v>1</v>
      </c>
      <c r="Z8" s="4">
        <v>2</v>
      </c>
      <c r="AA8" s="4">
        <v>3</v>
      </c>
      <c r="AB8" s="4">
        <v>4</v>
      </c>
      <c r="AC8" s="4">
        <v>5</v>
      </c>
      <c r="AD8" s="4">
        <v>6</v>
      </c>
      <c r="AE8" s="4">
        <v>7</v>
      </c>
      <c r="AF8" s="4">
        <v>8</v>
      </c>
    </row>
    <row r="9" spans="2:47" x14ac:dyDescent="0.25">
      <c r="C9" s="4" t="s">
        <v>14</v>
      </c>
      <c r="D9" s="5"/>
      <c r="E9" s="6"/>
      <c r="F9" s="6"/>
      <c r="G9" s="6"/>
      <c r="H9" s="6"/>
      <c r="I9" s="6"/>
      <c r="J9" s="6"/>
      <c r="K9" s="7"/>
      <c r="M9" s="4" t="s">
        <v>14</v>
      </c>
      <c r="N9" s="5"/>
      <c r="O9" s="6"/>
      <c r="P9" s="6"/>
      <c r="Q9" s="6"/>
      <c r="R9" s="6"/>
      <c r="S9" s="6"/>
      <c r="T9" s="6"/>
      <c r="U9" s="7"/>
      <c r="X9" s="4" t="s">
        <v>14</v>
      </c>
      <c r="Y9" s="5"/>
      <c r="Z9" s="6"/>
      <c r="AA9" s="6"/>
      <c r="AB9" s="6"/>
      <c r="AC9" s="6"/>
      <c r="AD9" s="6"/>
      <c r="AE9" s="6"/>
      <c r="AF9" s="7"/>
      <c r="AI9" t="s">
        <v>0</v>
      </c>
      <c r="AJ9" t="s">
        <v>1</v>
      </c>
      <c r="AK9" t="s">
        <v>4</v>
      </c>
      <c r="AM9" t="s">
        <v>5</v>
      </c>
    </row>
    <row r="10" spans="2:47" x14ac:dyDescent="0.25">
      <c r="C10" s="4" t="s">
        <v>15</v>
      </c>
      <c r="D10" s="8"/>
      <c r="E10" s="1" t="s">
        <v>33</v>
      </c>
      <c r="F10" t="s">
        <v>48</v>
      </c>
      <c r="G10" t="s">
        <v>49</v>
      </c>
      <c r="H10" t="s">
        <v>50</v>
      </c>
      <c r="I10" t="s">
        <v>51</v>
      </c>
      <c r="J10" s="1" t="s">
        <v>16</v>
      </c>
      <c r="K10" s="9"/>
      <c r="M10" s="4" t="s">
        <v>15</v>
      </c>
      <c r="N10" s="8"/>
      <c r="O10" s="1">
        <v>4138</v>
      </c>
      <c r="P10" s="1">
        <v>4383</v>
      </c>
      <c r="Q10" s="1">
        <v>4021</v>
      </c>
      <c r="R10" s="1">
        <v>3992</v>
      </c>
      <c r="S10" s="1">
        <v>4314</v>
      </c>
      <c r="T10" s="1">
        <v>6520</v>
      </c>
      <c r="U10" s="9"/>
      <c r="V10">
        <f>AVERAGE(O10:O12)</f>
        <v>4041.3333333333335</v>
      </c>
      <c r="X10" s="4" t="s">
        <v>15</v>
      </c>
      <c r="Y10" s="8"/>
      <c r="Z10" s="1">
        <f t="shared" ref="Z10:AE11" si="0">O10*1/$V$10</f>
        <v>1.0239194985153415</v>
      </c>
      <c r="AA10" s="1">
        <f t="shared" si="0"/>
        <v>1.0845430550973276</v>
      </c>
      <c r="AB10" s="1">
        <f t="shared" si="0"/>
        <v>0.99496865720884198</v>
      </c>
      <c r="AC10" s="1">
        <f t="shared" si="0"/>
        <v>0.98779280765423949</v>
      </c>
      <c r="AD10" s="1">
        <f t="shared" si="0"/>
        <v>1.0674694820191355</v>
      </c>
      <c r="AE10" s="1">
        <f t="shared" si="0"/>
        <v>1.6133289343451005</v>
      </c>
      <c r="AF10" s="9"/>
      <c r="AK10" t="s">
        <v>2</v>
      </c>
      <c r="AL10" t="s">
        <v>3</v>
      </c>
      <c r="AM10" t="s">
        <v>2</v>
      </c>
      <c r="AN10" t="s">
        <v>3</v>
      </c>
      <c r="AO10" t="s">
        <v>7</v>
      </c>
      <c r="AS10" t="s">
        <v>0</v>
      </c>
      <c r="AT10">
        <f>AI21</f>
        <v>1.0213499775956127</v>
      </c>
      <c r="AU10">
        <f>AI22</f>
        <v>3.3307661236247968E-2</v>
      </c>
    </row>
    <row r="11" spans="2:47" x14ac:dyDescent="0.25">
      <c r="C11" s="4" t="s">
        <v>17</v>
      </c>
      <c r="D11" s="8"/>
      <c r="E11" s="1" t="s">
        <v>33</v>
      </c>
      <c r="F11" t="s">
        <v>48</v>
      </c>
      <c r="G11" t="s">
        <v>49</v>
      </c>
      <c r="H11" t="s">
        <v>50</v>
      </c>
      <c r="I11" t="s">
        <v>51</v>
      </c>
      <c r="J11" s="1" t="s">
        <v>16</v>
      </c>
      <c r="K11" s="9"/>
      <c r="M11" s="4" t="s">
        <v>17</v>
      </c>
      <c r="N11" s="8"/>
      <c r="O11" s="1">
        <v>4021</v>
      </c>
      <c r="P11" s="1">
        <v>4238</v>
      </c>
      <c r="Q11" s="1">
        <v>3965</v>
      </c>
      <c r="R11" s="1">
        <v>3493</v>
      </c>
      <c r="S11" s="1">
        <v>4376</v>
      </c>
      <c r="T11" s="1">
        <v>5755</v>
      </c>
      <c r="U11" s="9"/>
      <c r="X11" s="4" t="s">
        <v>17</v>
      </c>
      <c r="Y11" s="8"/>
      <c r="Z11" s="1">
        <f t="shared" si="0"/>
        <v>0.99496865720884198</v>
      </c>
      <c r="AA11" s="1">
        <f t="shared" si="0"/>
        <v>1.0486638073243153</v>
      </c>
      <c r="AB11" s="1">
        <f t="shared" si="0"/>
        <v>0.98111184427581655</v>
      </c>
      <c r="AC11" s="1">
        <f t="shared" si="0"/>
        <v>0.86431870669745958</v>
      </c>
      <c r="AD11" s="1">
        <f t="shared" si="0"/>
        <v>1.0828109534806993</v>
      </c>
      <c r="AE11" s="1">
        <f t="shared" si="0"/>
        <v>1.42403497195645</v>
      </c>
      <c r="AF11" s="9"/>
      <c r="AI11">
        <f>Z13</f>
        <v>0.99496865720884198</v>
      </c>
      <c r="AJ11">
        <f t="shared" ref="AJ11:AO12" si="1">Z10</f>
        <v>1.0239194985153415</v>
      </c>
      <c r="AK11">
        <f t="shared" si="1"/>
        <v>1.0845430550973276</v>
      </c>
      <c r="AL11">
        <f t="shared" si="1"/>
        <v>0.99496865720884198</v>
      </c>
      <c r="AM11">
        <f t="shared" si="1"/>
        <v>0.98779280765423949</v>
      </c>
      <c r="AN11">
        <f t="shared" si="1"/>
        <v>1.0674694820191355</v>
      </c>
      <c r="AO11">
        <f t="shared" si="1"/>
        <v>1.6133289343451005</v>
      </c>
      <c r="AS11" t="s">
        <v>1</v>
      </c>
      <c r="AT11">
        <f>AJ21</f>
        <v>1</v>
      </c>
      <c r="AU11">
        <f>AJ22</f>
        <v>2.9848320262823629E-2</v>
      </c>
    </row>
    <row r="12" spans="2:47" x14ac:dyDescent="0.25">
      <c r="C12" s="4" t="s">
        <v>18</v>
      </c>
      <c r="D12" s="8"/>
      <c r="E12" s="1" t="s">
        <v>33</v>
      </c>
      <c r="F12" t="s">
        <v>48</v>
      </c>
      <c r="G12" t="s">
        <v>49</v>
      </c>
      <c r="H12" t="s">
        <v>50</v>
      </c>
      <c r="I12" t="s">
        <v>51</v>
      </c>
      <c r="J12" s="1"/>
      <c r="K12" s="9"/>
      <c r="M12" s="4" t="s">
        <v>18</v>
      </c>
      <c r="N12" s="8"/>
      <c r="O12" s="1">
        <v>3965</v>
      </c>
      <c r="P12" s="1">
        <v>3977</v>
      </c>
      <c r="Q12" s="1">
        <v>4138</v>
      </c>
      <c r="R12" s="1">
        <v>3366</v>
      </c>
      <c r="S12" s="1">
        <v>4191</v>
      </c>
      <c r="T12" s="1"/>
      <c r="U12" s="9"/>
      <c r="X12" s="4" t="s">
        <v>18</v>
      </c>
      <c r="Y12" s="8"/>
      <c r="Z12" s="1">
        <f>O12*1/$V$10</f>
        <v>0.98111184427581655</v>
      </c>
      <c r="AA12" s="1">
        <f>P12*1/$V$10</f>
        <v>0.98408116133289336</v>
      </c>
      <c r="AB12" s="1">
        <f>Q12*1/$V$10</f>
        <v>1.0239194985153415</v>
      </c>
      <c r="AC12" s="1">
        <f>R12*1/$V$10</f>
        <v>0.8328934345100627</v>
      </c>
      <c r="AD12" s="1">
        <f>S12*1/$V$10</f>
        <v>1.0370339821840977</v>
      </c>
      <c r="AE12" s="1"/>
      <c r="AF12" s="9"/>
      <c r="AI12">
        <f>AA13</f>
        <v>1.0051138238205213</v>
      </c>
      <c r="AJ12">
        <f t="shared" si="1"/>
        <v>0.99496865720884198</v>
      </c>
      <c r="AK12">
        <f t="shared" si="1"/>
        <v>1.0486638073243153</v>
      </c>
      <c r="AL12">
        <f t="shared" si="1"/>
        <v>0.98111184427581655</v>
      </c>
      <c r="AM12">
        <f t="shared" si="1"/>
        <v>0.86431870669745958</v>
      </c>
      <c r="AN12">
        <f t="shared" si="1"/>
        <v>1.0828109534806993</v>
      </c>
      <c r="AO12">
        <f t="shared" si="1"/>
        <v>1.42403497195645</v>
      </c>
      <c r="AR12" t="s">
        <v>4</v>
      </c>
      <c r="AS12" t="s">
        <v>2</v>
      </c>
      <c r="AT12">
        <f>AK21</f>
        <v>1.0130320026393929</v>
      </c>
      <c r="AU12">
        <f>AK22</f>
        <v>3.9134555636323495E-2</v>
      </c>
    </row>
    <row r="13" spans="2:47" x14ac:dyDescent="0.25">
      <c r="C13" s="4" t="s">
        <v>19</v>
      </c>
      <c r="D13" s="8"/>
      <c r="E13" s="1" t="s">
        <v>34</v>
      </c>
      <c r="F13" s="1" t="s">
        <v>34</v>
      </c>
      <c r="G13" s="1" t="s">
        <v>34</v>
      </c>
      <c r="H13" s="1"/>
      <c r="I13" s="1"/>
      <c r="J13" s="1"/>
      <c r="K13" s="9"/>
      <c r="M13" s="4" t="s">
        <v>19</v>
      </c>
      <c r="N13" s="8"/>
      <c r="O13" s="1">
        <v>4021</v>
      </c>
      <c r="P13" s="1">
        <v>4062</v>
      </c>
      <c r="Q13" s="1">
        <v>4431</v>
      </c>
      <c r="R13" s="1"/>
      <c r="S13" s="1"/>
      <c r="T13" s="1"/>
      <c r="U13" s="9"/>
      <c r="X13" s="4" t="s">
        <v>19</v>
      </c>
      <c r="Y13" s="8"/>
      <c r="Z13" s="1">
        <f>O13*1/$V$10</f>
        <v>0.99496865720884198</v>
      </c>
      <c r="AA13" s="1">
        <f>P13*1/$V$10</f>
        <v>1.0051138238205213</v>
      </c>
      <c r="AB13" s="1">
        <f>Q13*1/$V$10</f>
        <v>1.0964203233256351</v>
      </c>
      <c r="AC13" s="1"/>
      <c r="AD13" s="1"/>
      <c r="AE13" s="1"/>
      <c r="AF13" s="9"/>
      <c r="AI13">
        <f>AB13</f>
        <v>1.0964203233256351</v>
      </c>
      <c r="AJ13">
        <f>Z12</f>
        <v>0.98111184427581655</v>
      </c>
      <c r="AK13">
        <f>AA12</f>
        <v>0.98408116133289336</v>
      </c>
      <c r="AL13">
        <f>AB12</f>
        <v>1.0239194985153415</v>
      </c>
      <c r="AM13">
        <f>AC12</f>
        <v>0.8328934345100627</v>
      </c>
      <c r="AN13">
        <f>AD12</f>
        <v>1.0370339821840977</v>
      </c>
      <c r="AO13">
        <f>AE18</f>
        <v>1.6969822730776072</v>
      </c>
      <c r="AS13" t="s">
        <v>3</v>
      </c>
      <c r="AT13">
        <f>AL21</f>
        <v>1.1080984868096049</v>
      </c>
      <c r="AU13">
        <f>AL22</f>
        <v>9.2515456299854526E-2</v>
      </c>
    </row>
    <row r="14" spans="2:47" x14ac:dyDescent="0.25">
      <c r="C14" s="4" t="s">
        <v>20</v>
      </c>
      <c r="D14" s="10"/>
      <c r="E14" s="11"/>
      <c r="F14" s="11"/>
      <c r="G14" s="11"/>
      <c r="H14" s="11"/>
      <c r="I14" s="11"/>
      <c r="J14" s="11"/>
      <c r="K14" s="12"/>
      <c r="M14" s="4" t="s">
        <v>20</v>
      </c>
      <c r="N14" s="10"/>
      <c r="O14" s="11"/>
      <c r="P14" s="11"/>
      <c r="Q14" s="11"/>
      <c r="R14" s="11"/>
      <c r="S14" s="11"/>
      <c r="T14" s="11"/>
      <c r="U14" s="12"/>
      <c r="X14" s="4" t="s">
        <v>20</v>
      </c>
      <c r="Y14" s="10"/>
      <c r="Z14" s="11"/>
      <c r="AA14" s="11"/>
      <c r="AB14" s="11"/>
      <c r="AC14" s="11"/>
      <c r="AD14" s="11"/>
      <c r="AE14" s="11"/>
      <c r="AF14" s="12"/>
      <c r="AI14">
        <f>Z21</f>
        <v>1.0049208513665739</v>
      </c>
      <c r="AJ14">
        <f t="shared" ref="AJ14:AN16" si="2">Z18</f>
        <v>1.0404932708839747</v>
      </c>
      <c r="AK14">
        <f t="shared" si="2"/>
        <v>1.0404932708839747</v>
      </c>
      <c r="AL14">
        <f t="shared" si="2"/>
        <v>1.2066164700302366</v>
      </c>
      <c r="AM14">
        <f t="shared" si="2"/>
        <v>1.3773640837137606</v>
      </c>
      <c r="AN14">
        <f t="shared" si="2"/>
        <v>1.3286298689749214</v>
      </c>
      <c r="AO14">
        <f>AE19</f>
        <v>1.5952451532578409</v>
      </c>
      <c r="AR14" t="s">
        <v>5</v>
      </c>
      <c r="AS14" t="s">
        <v>2</v>
      </c>
      <c r="AT14">
        <f>AM21</f>
        <v>1.0617531334699786</v>
      </c>
      <c r="AU14">
        <f>AM22</f>
        <v>0.14625830029912593</v>
      </c>
    </row>
    <row r="15" spans="2:47" x14ac:dyDescent="0.25">
      <c r="AI15">
        <f>AA21</f>
        <v>0.99496057390170156</v>
      </c>
      <c r="AJ15">
        <f t="shared" si="2"/>
        <v>1.0102567142941841</v>
      </c>
      <c r="AK15">
        <f t="shared" si="2"/>
        <v>1.0102567142941841</v>
      </c>
      <c r="AL15">
        <f t="shared" si="2"/>
        <v>1.2069721942254106</v>
      </c>
      <c r="AM15">
        <f t="shared" si="2"/>
        <v>1.1676646706586826</v>
      </c>
      <c r="AN15">
        <f t="shared" si="2"/>
        <v>0.99496057390170156</v>
      </c>
      <c r="AO15" s="1">
        <f>AE26</f>
        <v>1.5780139488542013</v>
      </c>
      <c r="AS15" t="s">
        <v>3</v>
      </c>
      <c r="AT15">
        <f>AN21</f>
        <v>1.165359779424173</v>
      </c>
      <c r="AU15">
        <f>AN22</f>
        <v>0.12185773291256112</v>
      </c>
    </row>
    <row r="16" spans="2:47" x14ac:dyDescent="0.25">
      <c r="B16" t="s">
        <v>36</v>
      </c>
      <c r="D16" s="4">
        <v>1</v>
      </c>
      <c r="E16" s="4">
        <v>2</v>
      </c>
      <c r="F16" s="4">
        <v>3</v>
      </c>
      <c r="G16" s="4">
        <v>4</v>
      </c>
      <c r="H16" s="4">
        <v>5</v>
      </c>
      <c r="I16" s="4">
        <v>6</v>
      </c>
      <c r="J16" s="4">
        <v>7</v>
      </c>
      <c r="K16" s="4">
        <v>8</v>
      </c>
      <c r="N16" s="4">
        <v>1</v>
      </c>
      <c r="O16" s="4">
        <v>2</v>
      </c>
      <c r="P16" s="4">
        <v>3</v>
      </c>
      <c r="Q16" s="4">
        <v>4</v>
      </c>
      <c r="R16" s="4">
        <v>5</v>
      </c>
      <c r="S16" s="4">
        <v>6</v>
      </c>
      <c r="T16" s="4">
        <v>7</v>
      </c>
      <c r="U16" s="4">
        <v>8</v>
      </c>
      <c r="Y16" s="4">
        <v>1</v>
      </c>
      <c r="Z16" s="4">
        <v>2</v>
      </c>
      <c r="AA16" s="4">
        <v>3</v>
      </c>
      <c r="AB16" s="4">
        <v>4</v>
      </c>
      <c r="AC16" s="4">
        <v>5</v>
      </c>
      <c r="AD16" s="4">
        <v>6</v>
      </c>
      <c r="AE16" s="4">
        <v>7</v>
      </c>
      <c r="AF16" s="4">
        <v>8</v>
      </c>
      <c r="AI16">
        <f>AB21</f>
        <v>1.096164107428707</v>
      </c>
      <c r="AJ16">
        <f t="shared" si="2"/>
        <v>0.94925001482184157</v>
      </c>
      <c r="AK16">
        <f t="shared" si="2"/>
        <v>0.94925001482184157</v>
      </c>
      <c r="AL16">
        <f t="shared" si="2"/>
        <v>1.1306693543605859</v>
      </c>
      <c r="AM16">
        <f t="shared" si="2"/>
        <v>1.0049208513665739</v>
      </c>
      <c r="AN16">
        <f t="shared" si="2"/>
        <v>1.096164107428707</v>
      </c>
      <c r="AO16" s="1">
        <f>AE27</f>
        <v>1.5734307539023582</v>
      </c>
      <c r="AS16" t="s">
        <v>6</v>
      </c>
      <c r="AT16">
        <f>AO21</f>
        <v>1.5801726725655927</v>
      </c>
      <c r="AU16">
        <f>AO22</f>
        <v>5.5012780994589838E-2</v>
      </c>
    </row>
    <row r="17" spans="2:41" x14ac:dyDescent="0.25">
      <c r="C17" s="4" t="s">
        <v>14</v>
      </c>
      <c r="D17" s="5"/>
      <c r="E17" s="6"/>
      <c r="F17" s="6"/>
      <c r="G17" s="6"/>
      <c r="H17" s="6"/>
      <c r="I17" s="6"/>
      <c r="J17" s="6"/>
      <c r="K17" s="7"/>
      <c r="M17" s="4" t="s">
        <v>14</v>
      </c>
      <c r="N17" s="5"/>
      <c r="O17" s="6"/>
      <c r="P17" s="6"/>
      <c r="Q17" s="6"/>
      <c r="R17" s="6"/>
      <c r="S17" s="6"/>
      <c r="T17" s="6"/>
      <c r="U17" s="7"/>
      <c r="X17" s="4" t="s">
        <v>14</v>
      </c>
      <c r="Y17" s="5"/>
      <c r="Z17" s="6"/>
      <c r="AA17" s="6"/>
      <c r="AB17" s="6"/>
      <c r="AC17" s="6"/>
      <c r="AD17" s="6"/>
      <c r="AE17" s="6"/>
      <c r="AF17" s="7"/>
      <c r="AI17" s="1">
        <f>Z29</f>
        <v>1.0196612421122551</v>
      </c>
      <c r="AJ17">
        <f t="shared" ref="AJ17:AN19" si="3">Z26</f>
        <v>1.0545333776154102</v>
      </c>
      <c r="AK17">
        <f t="shared" si="3"/>
        <v>1.05453337761541</v>
      </c>
      <c r="AL17">
        <f t="shared" si="3"/>
        <v>1.2874792427764863</v>
      </c>
      <c r="AM17">
        <f t="shared" si="3"/>
        <v>1.2408502158751247</v>
      </c>
      <c r="AN17">
        <f t="shared" si="3"/>
        <v>1.4502822982397876</v>
      </c>
    </row>
    <row r="18" spans="2:41" x14ac:dyDescent="0.25">
      <c r="C18" s="4" t="s">
        <v>15</v>
      </c>
      <c r="D18" s="8"/>
      <c r="E18" s="1" t="s">
        <v>33</v>
      </c>
      <c r="F18" t="s">
        <v>48</v>
      </c>
      <c r="G18" t="s">
        <v>49</v>
      </c>
      <c r="H18" t="s">
        <v>50</v>
      </c>
      <c r="I18" t="s">
        <v>51</v>
      </c>
      <c r="J18" s="1" t="s">
        <v>16</v>
      </c>
      <c r="K18" s="9"/>
      <c r="M18" s="4" t="s">
        <v>15</v>
      </c>
      <c r="N18" s="8"/>
      <c r="O18" s="1">
        <v>5850</v>
      </c>
      <c r="P18" s="1">
        <v>5850</v>
      </c>
      <c r="Q18" s="1">
        <v>6784</v>
      </c>
      <c r="R18" s="1">
        <v>7744</v>
      </c>
      <c r="S18" s="1">
        <v>7470</v>
      </c>
      <c r="T18" s="1">
        <v>9541</v>
      </c>
      <c r="U18" s="9"/>
      <c r="V18">
        <f>AVERAGE(O18:O20)</f>
        <v>5622.333333333333</v>
      </c>
      <c r="X18" s="4" t="s">
        <v>15</v>
      </c>
      <c r="Y18" s="8"/>
      <c r="Z18" s="1">
        <f t="shared" ref="Z18:AE19" si="4">O18*1/$V$18</f>
        <v>1.0404932708839747</v>
      </c>
      <c r="AA18" s="1">
        <f t="shared" si="4"/>
        <v>1.0404932708839747</v>
      </c>
      <c r="AB18" s="1">
        <f t="shared" si="4"/>
        <v>1.2066164700302366</v>
      </c>
      <c r="AC18" s="1">
        <f t="shared" si="4"/>
        <v>1.3773640837137606</v>
      </c>
      <c r="AD18" s="1">
        <f t="shared" si="4"/>
        <v>1.3286298689749214</v>
      </c>
      <c r="AE18" s="1">
        <f t="shared" si="4"/>
        <v>1.6969822730776072</v>
      </c>
      <c r="AF18" s="9"/>
      <c r="AI18" s="1">
        <f>AA29</f>
        <v>0.96067751577548988</v>
      </c>
      <c r="AJ18">
        <f t="shared" si="3"/>
        <v>1.0051145798737962</v>
      </c>
      <c r="AK18">
        <f t="shared" si="3"/>
        <v>1.0051145798737962</v>
      </c>
      <c r="AL18">
        <f t="shared" si="3"/>
        <v>1.1250747260046496</v>
      </c>
      <c r="AM18">
        <f t="shared" si="3"/>
        <v>1.1192959149784125</v>
      </c>
      <c r="AN18">
        <f t="shared" si="3"/>
        <v>1.2408502158751247</v>
      </c>
    </row>
    <row r="19" spans="2:41" x14ac:dyDescent="0.25">
      <c r="C19" s="4" t="s">
        <v>17</v>
      </c>
      <c r="D19" s="8"/>
      <c r="E19" s="1" t="s">
        <v>33</v>
      </c>
      <c r="F19" t="s">
        <v>48</v>
      </c>
      <c r="G19" t="s">
        <v>49</v>
      </c>
      <c r="H19" t="s">
        <v>50</v>
      </c>
      <c r="I19" t="s">
        <v>51</v>
      </c>
      <c r="J19" s="1" t="s">
        <v>16</v>
      </c>
      <c r="K19" s="9"/>
      <c r="M19" s="4" t="s">
        <v>17</v>
      </c>
      <c r="N19" s="8"/>
      <c r="O19" s="1">
        <v>5680.0000000000009</v>
      </c>
      <c r="P19" s="1">
        <v>5680.0000000000009</v>
      </c>
      <c r="Q19" s="1">
        <v>6786</v>
      </c>
      <c r="R19" s="1">
        <v>6565</v>
      </c>
      <c r="S19" s="1">
        <v>5594</v>
      </c>
      <c r="T19" s="1">
        <v>8969</v>
      </c>
      <c r="U19" s="9"/>
      <c r="X19" s="4" t="s">
        <v>17</v>
      </c>
      <c r="Y19" s="8"/>
      <c r="Z19" s="1">
        <f t="shared" si="4"/>
        <v>1.0102567142941841</v>
      </c>
      <c r="AA19" s="1">
        <f t="shared" si="4"/>
        <v>1.0102567142941841</v>
      </c>
      <c r="AB19" s="1">
        <f t="shared" si="4"/>
        <v>1.2069721942254106</v>
      </c>
      <c r="AC19" s="1">
        <f t="shared" si="4"/>
        <v>1.1676646706586826</v>
      </c>
      <c r="AD19" s="1">
        <f t="shared" si="4"/>
        <v>0.99496057390170156</v>
      </c>
      <c r="AE19" s="1">
        <f t="shared" si="4"/>
        <v>1.5952451532578409</v>
      </c>
      <c r="AF19" s="9"/>
      <c r="AI19" s="1">
        <f>AB29</f>
        <v>1.0192627034207904</v>
      </c>
      <c r="AJ19">
        <f t="shared" si="3"/>
        <v>0.94035204251079385</v>
      </c>
      <c r="AK19">
        <f t="shared" si="3"/>
        <v>0.94035204251079385</v>
      </c>
      <c r="AL19">
        <f t="shared" si="3"/>
        <v>1.0160743938890735</v>
      </c>
      <c r="AM19">
        <f t="shared" si="3"/>
        <v>0.96067751577548988</v>
      </c>
      <c r="AN19">
        <f t="shared" si="3"/>
        <v>1.1900365327133844</v>
      </c>
    </row>
    <row r="20" spans="2:41" x14ac:dyDescent="0.25">
      <c r="C20" s="4" t="s">
        <v>18</v>
      </c>
      <c r="D20" s="8"/>
      <c r="E20" s="1" t="s">
        <v>33</v>
      </c>
      <c r="F20" t="s">
        <v>48</v>
      </c>
      <c r="G20" t="s">
        <v>49</v>
      </c>
      <c r="H20" t="s">
        <v>50</v>
      </c>
      <c r="I20" t="s">
        <v>51</v>
      </c>
      <c r="J20" s="1"/>
      <c r="K20" s="9"/>
      <c r="M20" s="4" t="s">
        <v>18</v>
      </c>
      <c r="N20" s="8"/>
      <c r="O20" s="1">
        <v>5337</v>
      </c>
      <c r="P20" s="1">
        <v>5337</v>
      </c>
      <c r="Q20" s="1">
        <v>6357.0000000000009</v>
      </c>
      <c r="R20" s="1">
        <v>5650</v>
      </c>
      <c r="S20" s="1">
        <v>6163</v>
      </c>
      <c r="T20" s="1"/>
      <c r="U20" s="9"/>
      <c r="X20" s="4" t="s">
        <v>18</v>
      </c>
      <c r="Y20" s="8"/>
      <c r="Z20" s="1">
        <f>O20*1/$V$18</f>
        <v>0.94925001482184157</v>
      </c>
      <c r="AA20" s="1">
        <f>P20*1/$V$18</f>
        <v>0.94925001482184157</v>
      </c>
      <c r="AB20" s="1">
        <f>Q20*1/$V$18</f>
        <v>1.1306693543605859</v>
      </c>
      <c r="AC20" s="1">
        <f>R20*1/$V$18</f>
        <v>1.0049208513665739</v>
      </c>
      <c r="AD20" s="1">
        <f>S20*1/$V$18</f>
        <v>1.096164107428707</v>
      </c>
      <c r="AE20" s="1"/>
      <c r="AF20" s="9"/>
      <c r="AN20" s="1"/>
    </row>
    <row r="21" spans="2:41" x14ac:dyDescent="0.25">
      <c r="C21" s="4" t="s">
        <v>19</v>
      </c>
      <c r="D21" s="8"/>
      <c r="E21" s="1" t="s">
        <v>34</v>
      </c>
      <c r="F21" s="1" t="s">
        <v>34</v>
      </c>
      <c r="G21" s="1" t="s">
        <v>34</v>
      </c>
      <c r="H21" s="1"/>
      <c r="I21" s="1"/>
      <c r="J21" s="1"/>
      <c r="K21" s="9"/>
      <c r="M21" s="4" t="s">
        <v>19</v>
      </c>
      <c r="N21" s="8"/>
      <c r="O21" s="1">
        <v>5650</v>
      </c>
      <c r="P21" s="1">
        <v>5594</v>
      </c>
      <c r="Q21" s="1">
        <v>6163</v>
      </c>
      <c r="R21" s="1"/>
      <c r="S21" s="1"/>
      <c r="T21" s="1"/>
      <c r="U21" s="9"/>
      <c r="X21" s="4" t="s">
        <v>19</v>
      </c>
      <c r="Y21" s="8"/>
      <c r="Z21" s="1">
        <f>O21*1/$V$18</f>
        <v>1.0049208513665739</v>
      </c>
      <c r="AA21" s="1">
        <f>P21*1/$V$18</f>
        <v>0.99496057390170156</v>
      </c>
      <c r="AB21" s="1">
        <f>Q21*1/$V$18</f>
        <v>1.096164107428707</v>
      </c>
      <c r="AC21" s="1"/>
      <c r="AD21" s="1"/>
      <c r="AE21" s="1"/>
      <c r="AF21" s="9"/>
      <c r="AI21">
        <f>AVERAGE(AI11:AI19)</f>
        <v>1.0213499775956127</v>
      </c>
      <c r="AJ21">
        <f t="shared" ref="AJ21:AO21" si="5">AVERAGE(AJ11:AJ19)</f>
        <v>1</v>
      </c>
      <c r="AK21">
        <f>AVERAGE(AK11:AK19)</f>
        <v>1.0130320026393929</v>
      </c>
      <c r="AL21">
        <f t="shared" si="5"/>
        <v>1.1080984868096049</v>
      </c>
      <c r="AM21">
        <f t="shared" si="5"/>
        <v>1.0617531334699786</v>
      </c>
      <c r="AN21">
        <f>AVERAGE(AN11:AN19)</f>
        <v>1.165359779424173</v>
      </c>
      <c r="AO21">
        <f t="shared" si="5"/>
        <v>1.5801726725655927</v>
      </c>
    </row>
    <row r="22" spans="2:41" x14ac:dyDescent="0.25">
      <c r="C22" s="4" t="s">
        <v>20</v>
      </c>
      <c r="D22" s="10"/>
      <c r="E22" s="11"/>
      <c r="F22" s="11"/>
      <c r="G22" s="11"/>
      <c r="H22" s="11"/>
      <c r="I22" s="11"/>
      <c r="J22" s="11"/>
      <c r="K22" s="12"/>
      <c r="M22" s="4" t="s">
        <v>20</v>
      </c>
      <c r="N22" s="10"/>
      <c r="O22" s="11"/>
      <c r="P22" s="11"/>
      <c r="Q22" s="11"/>
      <c r="R22" s="11"/>
      <c r="S22" s="11"/>
      <c r="T22" s="11"/>
      <c r="U22" s="12"/>
      <c r="X22" s="4" t="s">
        <v>20</v>
      </c>
      <c r="Y22" s="10"/>
      <c r="Z22" s="11"/>
      <c r="AA22" s="11"/>
      <c r="AB22" s="11"/>
      <c r="AC22" s="11"/>
      <c r="AD22" s="11"/>
      <c r="AE22" s="11"/>
      <c r="AF22" s="12"/>
      <c r="AI22">
        <f>AVEDEV(AI11:AI19)</f>
        <v>3.3307661236247968E-2</v>
      </c>
      <c r="AJ22">
        <f t="shared" ref="AJ22:AO22" si="6">AVEDEV(AJ11:AJ19)</f>
        <v>2.9848320262823629E-2</v>
      </c>
      <c r="AK22">
        <f t="shared" si="6"/>
        <v>3.9134555636323495E-2</v>
      </c>
      <c r="AL22">
        <f t="shared" si="6"/>
        <v>9.2515456299854526E-2</v>
      </c>
      <c r="AM22">
        <f t="shared" si="6"/>
        <v>0.14625830029912593</v>
      </c>
      <c r="AN22">
        <f t="shared" si="6"/>
        <v>0.12185773291256112</v>
      </c>
      <c r="AO22">
        <f t="shared" si="6"/>
        <v>5.5012780994589838E-2</v>
      </c>
    </row>
    <row r="24" spans="2:41" x14ac:dyDescent="0.25">
      <c r="B24" t="s">
        <v>37</v>
      </c>
      <c r="D24" s="4">
        <v>1</v>
      </c>
      <c r="E24" s="4">
        <v>2</v>
      </c>
      <c r="F24" s="4">
        <v>3</v>
      </c>
      <c r="G24" s="4">
        <v>4</v>
      </c>
      <c r="H24" s="4">
        <v>5</v>
      </c>
      <c r="I24" s="4">
        <v>6</v>
      </c>
      <c r="J24" s="4">
        <v>7</v>
      </c>
      <c r="K24" s="4">
        <v>8</v>
      </c>
      <c r="N24" s="4">
        <v>1</v>
      </c>
      <c r="O24" s="4">
        <v>2</v>
      </c>
      <c r="P24" s="4">
        <v>3</v>
      </c>
      <c r="Q24" s="4">
        <v>4</v>
      </c>
      <c r="R24" s="4">
        <v>5</v>
      </c>
      <c r="S24" s="4">
        <v>6</v>
      </c>
      <c r="T24" s="4">
        <v>7</v>
      </c>
      <c r="U24" s="4">
        <v>8</v>
      </c>
      <c r="Y24" s="4">
        <v>1</v>
      </c>
      <c r="Z24" s="4">
        <v>2</v>
      </c>
      <c r="AA24" s="4">
        <v>3</v>
      </c>
      <c r="AB24" s="4">
        <v>4</v>
      </c>
      <c r="AC24" s="4">
        <v>5</v>
      </c>
      <c r="AD24" s="4">
        <v>6</v>
      </c>
      <c r="AE24" s="4">
        <v>7</v>
      </c>
      <c r="AF24" s="4">
        <v>8</v>
      </c>
    </row>
    <row r="25" spans="2:41" x14ac:dyDescent="0.25">
      <c r="C25" s="4" t="s">
        <v>14</v>
      </c>
      <c r="D25" s="5"/>
      <c r="E25" s="6"/>
      <c r="F25" s="6"/>
      <c r="G25" s="6"/>
      <c r="H25" s="6"/>
      <c r="I25" s="6"/>
      <c r="J25" s="6"/>
      <c r="K25" s="7"/>
      <c r="M25" s="4" t="s">
        <v>14</v>
      </c>
      <c r="N25" s="5"/>
      <c r="O25" s="6"/>
      <c r="P25" s="6"/>
      <c r="Q25" s="6"/>
      <c r="R25" s="6"/>
      <c r="S25" s="6"/>
      <c r="T25" s="6"/>
      <c r="U25" s="7"/>
      <c r="X25" s="4" t="s">
        <v>14</v>
      </c>
      <c r="Y25" s="5"/>
      <c r="Z25" s="6"/>
      <c r="AA25" s="6"/>
      <c r="AB25" s="6"/>
      <c r="AC25" s="6"/>
      <c r="AD25" s="6"/>
      <c r="AE25" s="6"/>
      <c r="AF25" s="7"/>
    </row>
    <row r="26" spans="2:41" x14ac:dyDescent="0.25">
      <c r="C26" s="4" t="s">
        <v>15</v>
      </c>
      <c r="D26" s="8"/>
      <c r="E26" s="1" t="s">
        <v>33</v>
      </c>
      <c r="F26" t="s">
        <v>48</v>
      </c>
      <c r="G26" t="s">
        <v>49</v>
      </c>
      <c r="H26" t="s">
        <v>50</v>
      </c>
      <c r="I26" t="s">
        <v>51</v>
      </c>
      <c r="J26" s="1" t="s">
        <v>16</v>
      </c>
      <c r="K26" s="9"/>
      <c r="M26" s="4" t="s">
        <v>15</v>
      </c>
      <c r="N26" s="8"/>
      <c r="O26" s="1">
        <v>5292</v>
      </c>
      <c r="P26" s="1">
        <v>5291.9999999999991</v>
      </c>
      <c r="Q26" s="1">
        <v>6461</v>
      </c>
      <c r="R26" s="1">
        <v>6227</v>
      </c>
      <c r="S26" s="1">
        <v>7278</v>
      </c>
      <c r="T26" s="1">
        <v>7919</v>
      </c>
      <c r="U26" s="9"/>
      <c r="V26">
        <f>AVERAGE(O26:O28)</f>
        <v>5018.333333333333</v>
      </c>
      <c r="X26" s="4" t="s">
        <v>15</v>
      </c>
      <c r="Y26" s="8"/>
      <c r="Z26" s="1">
        <f t="shared" ref="Z26:AE27" si="7">O26*1/$V$26</f>
        <v>1.0545333776154102</v>
      </c>
      <c r="AA26" s="1">
        <f t="shared" si="7"/>
        <v>1.05453337761541</v>
      </c>
      <c r="AB26" s="1">
        <f t="shared" si="7"/>
        <v>1.2874792427764863</v>
      </c>
      <c r="AC26" s="1">
        <f t="shared" si="7"/>
        <v>1.2408502158751247</v>
      </c>
      <c r="AD26" s="1">
        <f t="shared" si="7"/>
        <v>1.4502822982397876</v>
      </c>
      <c r="AE26" s="1">
        <f t="shared" si="7"/>
        <v>1.5780139488542013</v>
      </c>
      <c r="AF26" s="9"/>
    </row>
    <row r="27" spans="2:41" x14ac:dyDescent="0.25">
      <c r="C27" s="4" t="s">
        <v>17</v>
      </c>
      <c r="D27" s="8"/>
      <c r="E27" s="1" t="s">
        <v>33</v>
      </c>
      <c r="F27" t="s">
        <v>48</v>
      </c>
      <c r="G27" t="s">
        <v>49</v>
      </c>
      <c r="H27" t="s">
        <v>50</v>
      </c>
      <c r="I27" t="s">
        <v>51</v>
      </c>
      <c r="J27" s="1" t="s">
        <v>16</v>
      </c>
      <c r="K27" s="9"/>
      <c r="M27" s="4" t="s">
        <v>17</v>
      </c>
      <c r="N27" s="8"/>
      <c r="O27" s="1">
        <v>5044</v>
      </c>
      <c r="P27" s="1">
        <v>5044</v>
      </c>
      <c r="Q27" s="1">
        <v>5646</v>
      </c>
      <c r="R27" s="1">
        <v>5617</v>
      </c>
      <c r="S27" s="1">
        <v>6227</v>
      </c>
      <c r="T27" s="1">
        <v>7896</v>
      </c>
      <c r="U27" s="9"/>
      <c r="X27" s="4" t="s">
        <v>17</v>
      </c>
      <c r="Y27" s="8"/>
      <c r="Z27" s="1">
        <f t="shared" si="7"/>
        <v>1.0051145798737962</v>
      </c>
      <c r="AA27" s="1">
        <f t="shared" si="7"/>
        <v>1.0051145798737962</v>
      </c>
      <c r="AB27" s="1">
        <f t="shared" si="7"/>
        <v>1.1250747260046496</v>
      </c>
      <c r="AC27" s="1">
        <f t="shared" si="7"/>
        <v>1.1192959149784125</v>
      </c>
      <c r="AD27" s="1">
        <f t="shared" si="7"/>
        <v>1.2408502158751247</v>
      </c>
      <c r="AE27" s="1">
        <f t="shared" si="7"/>
        <v>1.5734307539023582</v>
      </c>
      <c r="AF27" s="9"/>
    </row>
    <row r="28" spans="2:41" x14ac:dyDescent="0.25">
      <c r="C28" s="4" t="s">
        <v>18</v>
      </c>
      <c r="D28" s="8"/>
      <c r="E28" s="1" t="s">
        <v>33</v>
      </c>
      <c r="F28" t="s">
        <v>48</v>
      </c>
      <c r="G28" t="s">
        <v>49</v>
      </c>
      <c r="H28" t="s">
        <v>50</v>
      </c>
      <c r="I28" t="s">
        <v>51</v>
      </c>
      <c r="J28" s="1"/>
      <c r="K28" s="9"/>
      <c r="M28" s="4" t="s">
        <v>18</v>
      </c>
      <c r="N28" s="8"/>
      <c r="O28" s="1">
        <v>4719</v>
      </c>
      <c r="P28" s="1">
        <v>4719</v>
      </c>
      <c r="Q28" s="1">
        <v>5099</v>
      </c>
      <c r="R28" s="1">
        <v>4821</v>
      </c>
      <c r="S28" s="1">
        <v>5972</v>
      </c>
      <c r="T28" s="1"/>
      <c r="U28" s="9"/>
      <c r="X28" s="4" t="s">
        <v>18</v>
      </c>
      <c r="Y28" s="8"/>
      <c r="Z28" s="1">
        <f>O28*1/$V$26</f>
        <v>0.94035204251079385</v>
      </c>
      <c r="AA28" s="1">
        <f>P28*1/$V$26</f>
        <v>0.94035204251079385</v>
      </c>
      <c r="AB28" s="1">
        <f>Q28*1/$V$26</f>
        <v>1.0160743938890735</v>
      </c>
      <c r="AC28" s="1">
        <f>R28*1/$V$26</f>
        <v>0.96067751577548988</v>
      </c>
      <c r="AD28" s="1">
        <f>S28*1/$V$26</f>
        <v>1.1900365327133844</v>
      </c>
      <c r="AE28" s="1"/>
      <c r="AF28" s="9"/>
    </row>
    <row r="29" spans="2:41" x14ac:dyDescent="0.25">
      <c r="C29" s="4" t="s">
        <v>19</v>
      </c>
      <c r="D29" s="8"/>
      <c r="E29" s="1" t="s">
        <v>34</v>
      </c>
      <c r="F29" s="1" t="s">
        <v>34</v>
      </c>
      <c r="G29" s="1" t="s">
        <v>34</v>
      </c>
      <c r="H29" s="1"/>
      <c r="I29" s="1"/>
      <c r="J29" s="1"/>
      <c r="K29" s="9"/>
      <c r="M29" s="4" t="s">
        <v>19</v>
      </c>
      <c r="N29" s="8"/>
      <c r="O29" s="1">
        <v>5117</v>
      </c>
      <c r="P29" s="1">
        <v>4821</v>
      </c>
      <c r="Q29" s="1">
        <v>5115</v>
      </c>
      <c r="R29" s="1"/>
      <c r="S29" s="1"/>
      <c r="T29" s="1"/>
      <c r="U29" s="9"/>
      <c r="X29" s="4" t="s">
        <v>19</v>
      </c>
      <c r="Y29" s="8"/>
      <c r="Z29" s="1">
        <f>O29*1/$V$26</f>
        <v>1.0196612421122551</v>
      </c>
      <c r="AA29" s="1">
        <f>P29*1/$V$26</f>
        <v>0.96067751577548988</v>
      </c>
      <c r="AB29" s="1">
        <f>Q29*1/$V$26</f>
        <v>1.0192627034207904</v>
      </c>
      <c r="AC29" s="1"/>
      <c r="AD29" s="1"/>
      <c r="AE29" s="1"/>
      <c r="AF29" s="9"/>
    </row>
    <row r="30" spans="2:41" x14ac:dyDescent="0.25">
      <c r="C30" s="4" t="s">
        <v>20</v>
      </c>
      <c r="D30" s="10"/>
      <c r="E30" s="11"/>
      <c r="F30" s="11"/>
      <c r="G30" s="11"/>
      <c r="H30" s="11"/>
      <c r="I30" s="11"/>
      <c r="J30" s="11"/>
      <c r="K30" s="12"/>
      <c r="M30" s="4" t="s">
        <v>20</v>
      </c>
      <c r="N30" s="10"/>
      <c r="O30" s="11"/>
      <c r="P30" s="11"/>
      <c r="Q30" s="11"/>
      <c r="R30" s="11"/>
      <c r="S30" s="11"/>
      <c r="T30" s="11"/>
      <c r="U30" s="12"/>
      <c r="X30" s="4" t="s">
        <v>20</v>
      </c>
      <c r="Y30" s="10"/>
      <c r="Z30" s="11"/>
      <c r="AA30" s="11"/>
      <c r="AB30" s="11"/>
      <c r="AC30" s="11"/>
      <c r="AD30" s="11"/>
      <c r="AE30" s="11"/>
      <c r="AF30" s="12"/>
    </row>
    <row r="37" spans="36:42" x14ac:dyDescent="0.25">
      <c r="AM37" s="1"/>
    </row>
    <row r="38" spans="36:42" x14ac:dyDescent="0.25">
      <c r="AJ38" s="1"/>
      <c r="AK38" s="1"/>
    </row>
    <row r="39" spans="36:42" x14ac:dyDescent="0.25">
      <c r="AJ39" s="1"/>
      <c r="AK39" s="1"/>
    </row>
    <row r="40" spans="36:42" x14ac:dyDescent="0.25">
      <c r="AJ40" s="1"/>
      <c r="AK40" s="1"/>
      <c r="AP40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996D5-F16F-408E-AAAE-4D265DE73777}">
  <dimension ref="A1:D241"/>
  <sheetViews>
    <sheetView topLeftCell="A58" workbookViewId="0">
      <selection activeCell="G78" sqref="G78"/>
    </sheetView>
  </sheetViews>
  <sheetFormatPr baseColWidth="10" defaultRowHeight="15" x14ac:dyDescent="0.25"/>
  <sheetData>
    <row r="1" spans="1:4" x14ac:dyDescent="0.25">
      <c r="A1" t="s">
        <v>52</v>
      </c>
      <c r="B1" t="s">
        <v>68</v>
      </c>
      <c r="C1" t="s">
        <v>53</v>
      </c>
      <c r="D1" t="s">
        <v>69</v>
      </c>
    </row>
    <row r="2" spans="1:4" x14ac:dyDescent="0.25">
      <c r="A2" t="s">
        <v>57</v>
      </c>
      <c r="B2">
        <v>0.1</v>
      </c>
      <c r="C2" t="s">
        <v>59</v>
      </c>
      <c r="D2">
        <v>0.99496865720884198</v>
      </c>
    </row>
    <row r="3" spans="1:4" x14ac:dyDescent="0.25">
      <c r="A3" t="s">
        <v>57</v>
      </c>
      <c r="B3">
        <v>0.1</v>
      </c>
      <c r="C3" t="s">
        <v>59</v>
      </c>
      <c r="D3">
        <v>1.0051138238205213</v>
      </c>
    </row>
    <row r="4" spans="1:4" x14ac:dyDescent="0.25">
      <c r="A4" t="s">
        <v>57</v>
      </c>
      <c r="B4">
        <v>0.1</v>
      </c>
      <c r="C4" t="s">
        <v>59</v>
      </c>
      <c r="D4">
        <v>1.0964203233256351</v>
      </c>
    </row>
    <row r="5" spans="1:4" x14ac:dyDescent="0.25">
      <c r="A5" t="s">
        <v>57</v>
      </c>
      <c r="B5">
        <v>0.1</v>
      </c>
      <c r="C5" t="s">
        <v>59</v>
      </c>
      <c r="D5">
        <v>1.0049208513665739</v>
      </c>
    </row>
    <row r="6" spans="1:4" x14ac:dyDescent="0.25">
      <c r="A6" t="s">
        <v>57</v>
      </c>
      <c r="B6">
        <v>0.1</v>
      </c>
      <c r="C6" t="s">
        <v>59</v>
      </c>
      <c r="D6">
        <v>0.99496057390170156</v>
      </c>
    </row>
    <row r="7" spans="1:4" x14ac:dyDescent="0.25">
      <c r="A7" t="s">
        <v>57</v>
      </c>
      <c r="B7">
        <v>0.1</v>
      </c>
      <c r="C7" t="s">
        <v>59</v>
      </c>
      <c r="D7">
        <v>1.096164107428707</v>
      </c>
    </row>
    <row r="8" spans="1:4" x14ac:dyDescent="0.25">
      <c r="A8" t="s">
        <v>57</v>
      </c>
      <c r="B8">
        <v>0.1</v>
      </c>
      <c r="C8" t="s">
        <v>59</v>
      </c>
      <c r="D8">
        <v>1.0196612421122551</v>
      </c>
    </row>
    <row r="9" spans="1:4" x14ac:dyDescent="0.25">
      <c r="A9" t="s">
        <v>57</v>
      </c>
      <c r="B9">
        <v>0.1</v>
      </c>
      <c r="C9" t="s">
        <v>59</v>
      </c>
      <c r="D9">
        <v>0.96067751577548988</v>
      </c>
    </row>
    <row r="10" spans="1:4" x14ac:dyDescent="0.25">
      <c r="A10" t="s">
        <v>57</v>
      </c>
      <c r="B10">
        <v>0.1</v>
      </c>
      <c r="C10" t="s">
        <v>59</v>
      </c>
      <c r="D10">
        <v>1.0192627034207904</v>
      </c>
    </row>
    <row r="11" spans="1:4" x14ac:dyDescent="0.25">
      <c r="A11" t="s">
        <v>57</v>
      </c>
      <c r="B11">
        <v>1</v>
      </c>
      <c r="C11" t="s">
        <v>59</v>
      </c>
      <c r="D11">
        <v>1.0550973767885532</v>
      </c>
    </row>
    <row r="12" spans="1:4" x14ac:dyDescent="0.25">
      <c r="A12" t="s">
        <v>57</v>
      </c>
      <c r="B12">
        <v>1</v>
      </c>
      <c r="C12" t="s">
        <v>59</v>
      </c>
      <c r="D12">
        <v>1.0439189189189189</v>
      </c>
    </row>
    <row r="13" spans="1:4" x14ac:dyDescent="0.25">
      <c r="A13" t="s">
        <v>57</v>
      </c>
      <c r="B13">
        <v>1</v>
      </c>
      <c r="C13" t="s">
        <v>59</v>
      </c>
      <c r="D13">
        <v>1.0495826709062004</v>
      </c>
    </row>
    <row r="14" spans="1:4" x14ac:dyDescent="0.25">
      <c r="A14" t="s">
        <v>57</v>
      </c>
      <c r="B14">
        <v>1</v>
      </c>
      <c r="C14" t="s">
        <v>59</v>
      </c>
      <c r="D14">
        <v>0.9907077450493933</v>
      </c>
    </row>
    <row r="15" spans="1:4" x14ac:dyDescent="0.25">
      <c r="A15" t="s">
        <v>57</v>
      </c>
      <c r="B15">
        <v>1</v>
      </c>
      <c r="C15" t="s">
        <v>59</v>
      </c>
      <c r="D15">
        <v>0.95295232080833592</v>
      </c>
    </row>
    <row r="16" spans="1:4" x14ac:dyDescent="0.25">
      <c r="A16" t="s">
        <v>57</v>
      </c>
      <c r="B16">
        <v>1</v>
      </c>
      <c r="C16" t="s">
        <v>59</v>
      </c>
      <c r="D16">
        <v>0.64860841715909601</v>
      </c>
    </row>
    <row r="17" spans="1:4" x14ac:dyDescent="0.25">
      <c r="A17" t="s">
        <v>57</v>
      </c>
      <c r="B17">
        <v>1</v>
      </c>
      <c r="C17" t="s">
        <v>59</v>
      </c>
      <c r="D17">
        <v>1.0484136310223267</v>
      </c>
    </row>
    <row r="18" spans="1:4" x14ac:dyDescent="0.25">
      <c r="A18" t="s">
        <v>57</v>
      </c>
      <c r="B18">
        <v>1</v>
      </c>
      <c r="C18" t="s">
        <v>59</v>
      </c>
      <c r="D18">
        <v>0.98397179788484135</v>
      </c>
    </row>
    <row r="19" spans="1:4" x14ac:dyDescent="0.25">
      <c r="A19" t="s">
        <v>57</v>
      </c>
      <c r="B19">
        <v>1</v>
      </c>
      <c r="C19" t="s">
        <v>59</v>
      </c>
      <c r="D19">
        <v>1.0512338425381904</v>
      </c>
    </row>
    <row r="20" spans="1:4" x14ac:dyDescent="0.25">
      <c r="A20" t="s">
        <v>57</v>
      </c>
      <c r="B20">
        <v>1</v>
      </c>
      <c r="C20" t="s">
        <v>59</v>
      </c>
      <c r="D20">
        <v>0.99064036091845675</v>
      </c>
    </row>
    <row r="21" spans="1:4" x14ac:dyDescent="0.25">
      <c r="A21" t="s">
        <v>57</v>
      </c>
      <c r="B21">
        <v>1</v>
      </c>
      <c r="C21" t="s">
        <v>59</v>
      </c>
      <c r="D21">
        <v>0.95791529189953539</v>
      </c>
    </row>
    <row r="22" spans="1:4" x14ac:dyDescent="0.25">
      <c r="A22" t="s">
        <v>57</v>
      </c>
      <c r="B22">
        <v>1</v>
      </c>
      <c r="C22" t="s">
        <v>59</v>
      </c>
      <c r="D22">
        <v>1.0302336542993737</v>
      </c>
    </row>
    <row r="23" spans="1:4" x14ac:dyDescent="0.25">
      <c r="A23" t="s">
        <v>57</v>
      </c>
      <c r="B23">
        <v>1</v>
      </c>
      <c r="C23" t="s">
        <v>59</v>
      </c>
      <c r="D23">
        <v>1.0843327133970371</v>
      </c>
    </row>
    <row r="24" spans="1:4" x14ac:dyDescent="0.25">
      <c r="A24" t="s">
        <v>57</v>
      </c>
      <c r="B24">
        <v>1</v>
      </c>
      <c r="C24" t="s">
        <v>59</v>
      </c>
      <c r="D24">
        <v>0.96966587571346108</v>
      </c>
    </row>
    <row r="25" spans="1:4" x14ac:dyDescent="0.25">
      <c r="A25" t="s">
        <v>57</v>
      </c>
      <c r="B25">
        <v>1</v>
      </c>
      <c r="C25" t="s">
        <v>59</v>
      </c>
      <c r="D25">
        <v>0.91483357917014041</v>
      </c>
    </row>
    <row r="26" spans="1:4" x14ac:dyDescent="0.25">
      <c r="A26" t="s">
        <v>57</v>
      </c>
      <c r="B26">
        <v>1</v>
      </c>
      <c r="C26" t="s">
        <v>59</v>
      </c>
      <c r="D26">
        <v>1.1532719581985569</v>
      </c>
    </row>
    <row r="27" spans="1:4" x14ac:dyDescent="0.25">
      <c r="A27" t="s">
        <v>57</v>
      </c>
      <c r="B27">
        <v>1</v>
      </c>
      <c r="C27" t="s">
        <v>59</v>
      </c>
      <c r="D27">
        <v>0.9315750186613585</v>
      </c>
    </row>
    <row r="28" spans="1:4" x14ac:dyDescent="0.25">
      <c r="A28" t="s">
        <v>57</v>
      </c>
      <c r="B28">
        <v>1</v>
      </c>
      <c r="C28" t="s">
        <v>59</v>
      </c>
      <c r="D28">
        <v>0.9685245085842249</v>
      </c>
    </row>
    <row r="29" spans="1:4" x14ac:dyDescent="0.25">
      <c r="A29" t="s">
        <v>57</v>
      </c>
      <c r="B29">
        <v>1</v>
      </c>
      <c r="C29" t="s">
        <v>59</v>
      </c>
      <c r="D29">
        <v>0.98540326571004455</v>
      </c>
    </row>
    <row r="30" spans="1:4" x14ac:dyDescent="0.25">
      <c r="A30" t="s">
        <v>57</v>
      </c>
      <c r="B30">
        <v>1</v>
      </c>
      <c r="C30" t="s">
        <v>59</v>
      </c>
      <c r="D30">
        <v>0.95769421078673922</v>
      </c>
    </row>
    <row r="31" spans="1:4" x14ac:dyDescent="0.25">
      <c r="A31" t="s">
        <v>57</v>
      </c>
      <c r="B31">
        <v>1</v>
      </c>
      <c r="C31" t="s">
        <v>59</v>
      </c>
      <c r="D31">
        <v>0.94433448787728846</v>
      </c>
    </row>
    <row r="32" spans="1:4" x14ac:dyDescent="0.25">
      <c r="A32" t="s">
        <v>57</v>
      </c>
      <c r="B32">
        <v>1</v>
      </c>
      <c r="C32" t="s">
        <v>59</v>
      </c>
      <c r="D32">
        <v>0.80037943914151899</v>
      </c>
    </row>
    <row r="33" spans="1:4" x14ac:dyDescent="0.25">
      <c r="A33" t="s">
        <v>57</v>
      </c>
      <c r="B33">
        <v>1</v>
      </c>
      <c r="C33" t="s">
        <v>59</v>
      </c>
      <c r="D33">
        <v>1.1520128060710264</v>
      </c>
    </row>
    <row r="34" spans="1:4" x14ac:dyDescent="0.25">
      <c r="A34" t="s">
        <v>57</v>
      </c>
      <c r="B34">
        <v>1</v>
      </c>
      <c r="C34" t="s">
        <v>59</v>
      </c>
      <c r="D34">
        <v>0.99069188355961346</v>
      </c>
    </row>
    <row r="35" spans="1:4" x14ac:dyDescent="0.25">
      <c r="A35" t="s">
        <v>57</v>
      </c>
      <c r="B35">
        <v>1</v>
      </c>
      <c r="C35" t="s">
        <v>59</v>
      </c>
      <c r="D35">
        <v>0.95788774493523754</v>
      </c>
    </row>
    <row r="36" spans="1:4" x14ac:dyDescent="0.25">
      <c r="A36" t="s">
        <v>57</v>
      </c>
      <c r="B36">
        <v>1</v>
      </c>
      <c r="C36" t="s">
        <v>59</v>
      </c>
      <c r="D36">
        <v>1.0302225174360677</v>
      </c>
    </row>
    <row r="37" spans="1:4" x14ac:dyDescent="0.25">
      <c r="A37" t="s">
        <v>57</v>
      </c>
      <c r="B37">
        <v>1</v>
      </c>
      <c r="C37" t="s">
        <v>59</v>
      </c>
      <c r="D37">
        <v>1.0844237794752574</v>
      </c>
    </row>
    <row r="38" spans="1:4" x14ac:dyDescent="0.25">
      <c r="A38" t="s">
        <v>58</v>
      </c>
      <c r="B38">
        <v>0.1</v>
      </c>
      <c r="C38" t="s">
        <v>59</v>
      </c>
      <c r="D38">
        <v>1.0239194985153415</v>
      </c>
    </row>
    <row r="39" spans="1:4" x14ac:dyDescent="0.25">
      <c r="A39" t="s">
        <v>58</v>
      </c>
      <c r="B39">
        <v>0.1</v>
      </c>
      <c r="C39" t="s">
        <v>59</v>
      </c>
      <c r="D39">
        <v>0.99496865720884198</v>
      </c>
    </row>
    <row r="40" spans="1:4" x14ac:dyDescent="0.25">
      <c r="A40" t="s">
        <v>58</v>
      </c>
      <c r="B40">
        <v>0.1</v>
      </c>
      <c r="C40" t="s">
        <v>59</v>
      </c>
      <c r="D40">
        <v>0.98111184427581655</v>
      </c>
    </row>
    <row r="41" spans="1:4" x14ac:dyDescent="0.25">
      <c r="A41" t="s">
        <v>58</v>
      </c>
      <c r="B41">
        <v>0.1</v>
      </c>
      <c r="C41" t="s">
        <v>59</v>
      </c>
      <c r="D41">
        <v>1.0404932708839747</v>
      </c>
    </row>
    <row r="42" spans="1:4" x14ac:dyDescent="0.25">
      <c r="A42" t="s">
        <v>58</v>
      </c>
      <c r="B42">
        <v>0.1</v>
      </c>
      <c r="C42" t="s">
        <v>59</v>
      </c>
      <c r="D42">
        <v>1.0102567142941841</v>
      </c>
    </row>
    <row r="43" spans="1:4" x14ac:dyDescent="0.25">
      <c r="A43" t="s">
        <v>58</v>
      </c>
      <c r="B43">
        <v>0.1</v>
      </c>
      <c r="C43" t="s">
        <v>59</v>
      </c>
      <c r="D43">
        <v>0.94925001482184157</v>
      </c>
    </row>
    <row r="44" spans="1:4" x14ac:dyDescent="0.25">
      <c r="A44" t="s">
        <v>58</v>
      </c>
      <c r="B44">
        <v>0.1</v>
      </c>
      <c r="C44" t="s">
        <v>59</v>
      </c>
      <c r="D44">
        <v>1.0545333776154102</v>
      </c>
    </row>
    <row r="45" spans="1:4" x14ac:dyDescent="0.25">
      <c r="A45" t="s">
        <v>58</v>
      </c>
      <c r="B45">
        <v>0.1</v>
      </c>
      <c r="C45" t="s">
        <v>59</v>
      </c>
      <c r="D45">
        <v>1.0051145798737962</v>
      </c>
    </row>
    <row r="46" spans="1:4" x14ac:dyDescent="0.25">
      <c r="A46" t="s">
        <v>58</v>
      </c>
      <c r="B46">
        <v>0.1</v>
      </c>
      <c r="C46" t="s">
        <v>59</v>
      </c>
      <c r="D46">
        <v>0.94035204251079385</v>
      </c>
    </row>
    <row r="47" spans="1:4" x14ac:dyDescent="0.25">
      <c r="A47" t="s">
        <v>58</v>
      </c>
      <c r="B47">
        <v>1</v>
      </c>
      <c r="C47" t="s">
        <v>59</v>
      </c>
      <c r="D47">
        <v>1.0439189189189189</v>
      </c>
    </row>
    <row r="48" spans="1:4" x14ac:dyDescent="0.25">
      <c r="A48" t="s">
        <v>58</v>
      </c>
      <c r="B48">
        <v>1</v>
      </c>
      <c r="C48" t="s">
        <v>59</v>
      </c>
      <c r="D48">
        <v>0.99995031796502387</v>
      </c>
    </row>
    <row r="49" spans="1:4" x14ac:dyDescent="0.25">
      <c r="A49" t="s">
        <v>58</v>
      </c>
      <c r="B49">
        <v>1</v>
      </c>
      <c r="C49" t="s">
        <v>59</v>
      </c>
      <c r="D49">
        <v>0.95613076311605727</v>
      </c>
    </row>
    <row r="50" spans="1:4" x14ac:dyDescent="0.25">
      <c r="A50" t="s">
        <v>58</v>
      </c>
      <c r="B50">
        <v>1</v>
      </c>
      <c r="C50" t="s">
        <v>59</v>
      </c>
      <c r="D50">
        <v>1.0513329423970408</v>
      </c>
    </row>
    <row r="51" spans="1:4" x14ac:dyDescent="0.25">
      <c r="A51" t="s">
        <v>58</v>
      </c>
      <c r="B51">
        <v>1</v>
      </c>
      <c r="C51" t="s">
        <v>59</v>
      </c>
      <c r="D51">
        <v>0.9907077450493933</v>
      </c>
    </row>
    <row r="52" spans="1:4" x14ac:dyDescent="0.25">
      <c r="A52" t="s">
        <v>58</v>
      </c>
      <c r="B52">
        <v>1</v>
      </c>
      <c r="C52" t="s">
        <v>59</v>
      </c>
      <c r="D52">
        <v>0.9579593125535657</v>
      </c>
    </row>
    <row r="53" spans="1:4" x14ac:dyDescent="0.25">
      <c r="A53" t="s">
        <v>58</v>
      </c>
      <c r="B53">
        <v>1</v>
      </c>
      <c r="C53" t="s">
        <v>59</v>
      </c>
      <c r="D53">
        <v>1.030364277320799</v>
      </c>
    </row>
    <row r="54" spans="1:4" x14ac:dyDescent="0.25">
      <c r="A54" t="s">
        <v>58</v>
      </c>
      <c r="B54">
        <v>1</v>
      </c>
      <c r="C54" t="s">
        <v>59</v>
      </c>
      <c r="D54">
        <v>0.99990599294947113</v>
      </c>
    </row>
    <row r="55" spans="1:4" x14ac:dyDescent="0.25">
      <c r="A55" t="s">
        <v>58</v>
      </c>
      <c r="B55">
        <v>1</v>
      </c>
      <c r="C55" t="s">
        <v>59</v>
      </c>
      <c r="D55">
        <v>0.96972972972972971</v>
      </c>
    </row>
    <row r="56" spans="1:4" x14ac:dyDescent="0.25">
      <c r="A56" t="s">
        <v>58</v>
      </c>
      <c r="B56">
        <v>1</v>
      </c>
      <c r="C56" t="s">
        <v>59</v>
      </c>
      <c r="D56">
        <v>0.91488788633762042</v>
      </c>
    </row>
    <row r="57" spans="1:4" x14ac:dyDescent="0.25">
      <c r="A57" t="s">
        <v>58</v>
      </c>
      <c r="B57">
        <v>1</v>
      </c>
      <c r="C57" t="s">
        <v>59</v>
      </c>
      <c r="D57">
        <v>1.1534576796175342</v>
      </c>
    </row>
    <row r="58" spans="1:4" x14ac:dyDescent="0.25">
      <c r="A58" t="s">
        <v>58</v>
      </c>
      <c r="B58">
        <v>1</v>
      </c>
      <c r="C58" t="s">
        <v>59</v>
      </c>
      <c r="D58">
        <v>0.93165443404484549</v>
      </c>
    </row>
    <row r="59" spans="1:4" x14ac:dyDescent="0.25">
      <c r="A59" t="s">
        <v>58</v>
      </c>
      <c r="B59">
        <v>1</v>
      </c>
      <c r="C59" t="s">
        <v>59</v>
      </c>
      <c r="D59">
        <v>0.96870390559866604</v>
      </c>
    </row>
    <row r="60" spans="1:4" x14ac:dyDescent="0.25">
      <c r="A60" t="s">
        <v>58</v>
      </c>
      <c r="B60">
        <v>1</v>
      </c>
      <c r="C60" t="s">
        <v>59</v>
      </c>
      <c r="D60">
        <v>1.1364714936189315</v>
      </c>
    </row>
    <row r="61" spans="1:4" x14ac:dyDescent="0.25">
      <c r="A61" t="s">
        <v>58</v>
      </c>
      <c r="B61">
        <v>1</v>
      </c>
      <c r="C61" t="s">
        <v>59</v>
      </c>
      <c r="D61">
        <v>0.89482460078240234</v>
      </c>
    </row>
    <row r="62" spans="1:4" x14ac:dyDescent="0.25">
      <c r="A62" t="s">
        <v>58</v>
      </c>
      <c r="B62">
        <v>1</v>
      </c>
      <c r="C62" t="s">
        <v>59</v>
      </c>
      <c r="D62">
        <v>1.0474620552376213</v>
      </c>
    </row>
    <row r="63" spans="1:4" x14ac:dyDescent="0.25">
      <c r="A63" t="s">
        <v>58</v>
      </c>
      <c r="B63">
        <v>1</v>
      </c>
      <c r="C63" t="s">
        <v>59</v>
      </c>
      <c r="D63">
        <v>0.80038566807663591</v>
      </c>
    </row>
    <row r="64" spans="1:4" x14ac:dyDescent="0.25">
      <c r="A64" t="s">
        <v>58</v>
      </c>
      <c r="B64">
        <v>1</v>
      </c>
      <c r="C64" t="s">
        <v>59</v>
      </c>
      <c r="D64">
        <v>1.1521522766857426</v>
      </c>
    </row>
    <row r="65" spans="1:4" x14ac:dyDescent="0.25">
      <c r="A65" t="s">
        <v>58</v>
      </c>
      <c r="B65">
        <v>1</v>
      </c>
      <c r="C65" t="s">
        <v>59</v>
      </c>
      <c r="D65">
        <v>1.0437902028698665</v>
      </c>
    </row>
    <row r="66" spans="1:4" x14ac:dyDescent="0.25">
      <c r="A66" t="s">
        <v>58</v>
      </c>
      <c r="B66">
        <v>1</v>
      </c>
      <c r="C66" t="s">
        <v>59</v>
      </c>
      <c r="D66">
        <v>1.0091538842157348</v>
      </c>
    </row>
    <row r="67" spans="1:4" x14ac:dyDescent="0.25">
      <c r="A67" t="s">
        <v>58</v>
      </c>
      <c r="B67">
        <v>1</v>
      </c>
      <c r="C67" t="s">
        <v>59</v>
      </c>
      <c r="D67">
        <v>0.94705591291439883</v>
      </c>
    </row>
    <row r="68" spans="1:4" x14ac:dyDescent="0.25">
      <c r="A68" t="s">
        <v>58</v>
      </c>
      <c r="B68">
        <v>1</v>
      </c>
      <c r="C68" t="s">
        <v>59</v>
      </c>
      <c r="D68">
        <v>1.0404932708839747</v>
      </c>
    </row>
    <row r="69" spans="1:4" x14ac:dyDescent="0.25">
      <c r="A69" t="s">
        <v>58</v>
      </c>
      <c r="B69">
        <v>1</v>
      </c>
      <c r="C69" t="s">
        <v>59</v>
      </c>
      <c r="D69">
        <v>1.0102567142941841</v>
      </c>
    </row>
    <row r="70" spans="1:4" x14ac:dyDescent="0.25">
      <c r="A70" t="s">
        <v>58</v>
      </c>
      <c r="B70">
        <v>1</v>
      </c>
      <c r="C70" t="s">
        <v>59</v>
      </c>
      <c r="D70">
        <v>0.94925001482184157</v>
      </c>
    </row>
    <row r="71" spans="1:4" x14ac:dyDescent="0.25">
      <c r="A71" t="s">
        <v>58</v>
      </c>
      <c r="B71">
        <v>1</v>
      </c>
      <c r="C71" t="s">
        <v>59</v>
      </c>
      <c r="D71">
        <v>1.0545333776154102</v>
      </c>
    </row>
    <row r="72" spans="1:4" x14ac:dyDescent="0.25">
      <c r="A72" t="s">
        <v>58</v>
      </c>
      <c r="B72">
        <v>1</v>
      </c>
      <c r="C72" t="s">
        <v>59</v>
      </c>
      <c r="D72">
        <v>1.0051145798737962</v>
      </c>
    </row>
    <row r="73" spans="1:4" x14ac:dyDescent="0.25">
      <c r="A73" t="s">
        <v>58</v>
      </c>
      <c r="B73">
        <v>1</v>
      </c>
      <c r="C73" t="s">
        <v>59</v>
      </c>
      <c r="D73">
        <v>0.94035204251079385</v>
      </c>
    </row>
    <row r="74" spans="1:4" x14ac:dyDescent="0.25">
      <c r="A74" t="s">
        <v>56</v>
      </c>
      <c r="B74">
        <v>0.1</v>
      </c>
      <c r="C74" t="s">
        <v>59</v>
      </c>
      <c r="D74">
        <v>1.6133289343451005</v>
      </c>
    </row>
    <row r="75" spans="1:4" x14ac:dyDescent="0.25">
      <c r="A75" t="s">
        <v>56</v>
      </c>
      <c r="B75">
        <v>0.1</v>
      </c>
      <c r="C75" t="s">
        <v>59</v>
      </c>
      <c r="D75">
        <v>1.42403497195645</v>
      </c>
    </row>
    <row r="76" spans="1:4" x14ac:dyDescent="0.25">
      <c r="A76" t="s">
        <v>56</v>
      </c>
      <c r="B76">
        <v>0.1</v>
      </c>
      <c r="C76" t="s">
        <v>59</v>
      </c>
      <c r="D76">
        <v>1.6969822730776072</v>
      </c>
    </row>
    <row r="77" spans="1:4" x14ac:dyDescent="0.25">
      <c r="A77" t="s">
        <v>56</v>
      </c>
      <c r="B77">
        <v>0.1</v>
      </c>
      <c r="C77" t="s">
        <v>59</v>
      </c>
      <c r="D77">
        <v>1.5952451532578409</v>
      </c>
    </row>
    <row r="78" spans="1:4" x14ac:dyDescent="0.25">
      <c r="A78" t="s">
        <v>56</v>
      </c>
      <c r="B78">
        <v>0.1</v>
      </c>
      <c r="C78" t="s">
        <v>59</v>
      </c>
      <c r="D78">
        <v>1.5780139488542013</v>
      </c>
    </row>
    <row r="79" spans="1:4" x14ac:dyDescent="0.25">
      <c r="A79" t="s">
        <v>56</v>
      </c>
      <c r="B79">
        <v>0.1</v>
      </c>
      <c r="C79" t="s">
        <v>59</v>
      </c>
      <c r="D79">
        <v>1.5734307539023582</v>
      </c>
    </row>
    <row r="80" spans="1:4" x14ac:dyDescent="0.25">
      <c r="A80" t="s">
        <v>56</v>
      </c>
      <c r="B80">
        <v>1</v>
      </c>
      <c r="C80" t="s">
        <v>59</v>
      </c>
      <c r="D80">
        <v>1.6132750397456281</v>
      </c>
    </row>
    <row r="81" spans="1:4" x14ac:dyDescent="0.25">
      <c r="A81" t="s">
        <v>56</v>
      </c>
      <c r="B81">
        <v>1</v>
      </c>
      <c r="C81" t="s">
        <v>59</v>
      </c>
      <c r="D81">
        <v>1.4239864864864866</v>
      </c>
    </row>
    <row r="82" spans="1:4" x14ac:dyDescent="0.25">
      <c r="A82" t="s">
        <v>56</v>
      </c>
      <c r="B82">
        <v>1</v>
      </c>
      <c r="C82" t="s">
        <v>59</v>
      </c>
      <c r="D82">
        <v>1.6881681627497858</v>
      </c>
    </row>
    <row r="83" spans="1:4" x14ac:dyDescent="0.25">
      <c r="A83" t="s">
        <v>56</v>
      </c>
      <c r="B83">
        <v>1</v>
      </c>
      <c r="C83" t="s">
        <v>59</v>
      </c>
      <c r="D83">
        <v>1.6749064008299877</v>
      </c>
    </row>
    <row r="84" spans="1:4" x14ac:dyDescent="0.25">
      <c r="A84" t="s">
        <v>56</v>
      </c>
      <c r="B84">
        <v>1</v>
      </c>
      <c r="C84" t="s">
        <v>59</v>
      </c>
      <c r="D84">
        <v>1.6970622796709753</v>
      </c>
    </row>
    <row r="85" spans="1:4" x14ac:dyDescent="0.25">
      <c r="A85" t="s">
        <v>56</v>
      </c>
      <c r="B85">
        <v>1</v>
      </c>
      <c r="C85" t="s">
        <v>59</v>
      </c>
      <c r="D85">
        <v>1.5953936545240892</v>
      </c>
    </row>
    <row r="86" spans="1:4" x14ac:dyDescent="0.25">
      <c r="A86" t="s">
        <v>56</v>
      </c>
      <c r="B86">
        <v>1</v>
      </c>
      <c r="C86" t="s">
        <v>59</v>
      </c>
      <c r="D86">
        <v>1.6461517742912937</v>
      </c>
    </row>
    <row r="87" spans="1:4" x14ac:dyDescent="0.25">
      <c r="A87" t="s">
        <v>56</v>
      </c>
      <c r="B87">
        <v>1</v>
      </c>
      <c r="C87" t="s">
        <v>59</v>
      </c>
      <c r="D87">
        <v>1.5184836037977241</v>
      </c>
    </row>
    <row r="88" spans="1:4" x14ac:dyDescent="0.25">
      <c r="A88" t="s">
        <v>56</v>
      </c>
      <c r="B88">
        <v>1</v>
      </c>
      <c r="C88" t="s">
        <v>59</v>
      </c>
      <c r="D88">
        <v>1.6070672737766947</v>
      </c>
    </row>
    <row r="89" spans="1:4" x14ac:dyDescent="0.25">
      <c r="A89" t="s">
        <v>56</v>
      </c>
      <c r="B89">
        <v>1</v>
      </c>
      <c r="C89" t="s">
        <v>59</v>
      </c>
      <c r="D89">
        <v>1.6070672737766947</v>
      </c>
    </row>
    <row r="90" spans="1:4" x14ac:dyDescent="0.25">
      <c r="A90" t="s">
        <v>56</v>
      </c>
      <c r="B90">
        <v>1</v>
      </c>
      <c r="C90" t="s">
        <v>59</v>
      </c>
      <c r="D90">
        <v>1.6071161980592186</v>
      </c>
    </row>
    <row r="91" spans="1:4" x14ac:dyDescent="0.25">
      <c r="A91" t="s">
        <v>56</v>
      </c>
      <c r="B91">
        <v>1</v>
      </c>
      <c r="C91" t="s">
        <v>59</v>
      </c>
      <c r="D91">
        <v>1.5125031102264244</v>
      </c>
    </row>
    <row r="92" spans="1:4" x14ac:dyDescent="0.25">
      <c r="A92" t="s">
        <v>56</v>
      </c>
      <c r="B92">
        <v>1</v>
      </c>
      <c r="C92" t="s">
        <v>59</v>
      </c>
      <c r="D92">
        <v>1.570509648688768</v>
      </c>
    </row>
    <row r="93" spans="1:4" x14ac:dyDescent="0.25">
      <c r="A93" t="s">
        <v>56</v>
      </c>
      <c r="B93">
        <v>1</v>
      </c>
      <c r="C93" t="s">
        <v>59</v>
      </c>
      <c r="D93">
        <v>1.4680851063829787</v>
      </c>
    </row>
    <row r="94" spans="1:4" x14ac:dyDescent="0.25">
      <c r="A94" t="s">
        <v>56</v>
      </c>
      <c r="B94">
        <v>1</v>
      </c>
      <c r="C94" t="s">
        <v>59</v>
      </c>
      <c r="D94">
        <v>1.4460188533823444</v>
      </c>
    </row>
    <row r="95" spans="1:4" x14ac:dyDescent="0.25">
      <c r="A95" t="s">
        <v>56</v>
      </c>
      <c r="B95">
        <v>1</v>
      </c>
      <c r="C95" t="s">
        <v>59</v>
      </c>
      <c r="D95">
        <v>1.604316120234778</v>
      </c>
    </row>
    <row r="96" spans="1:4" x14ac:dyDescent="0.25">
      <c r="A96" t="s">
        <v>56</v>
      </c>
      <c r="B96">
        <v>1</v>
      </c>
      <c r="C96" t="s">
        <v>59</v>
      </c>
      <c r="D96">
        <v>1.5873796081036202</v>
      </c>
    </row>
    <row r="97" spans="1:4" x14ac:dyDescent="0.25">
      <c r="A97" t="s">
        <v>56</v>
      </c>
      <c r="B97">
        <v>1</v>
      </c>
      <c r="C97" t="s">
        <v>59</v>
      </c>
      <c r="D97">
        <v>1.6087014280969778</v>
      </c>
    </row>
    <row r="98" spans="1:4" x14ac:dyDescent="0.25">
      <c r="A98" t="s">
        <v>60</v>
      </c>
      <c r="B98">
        <v>1</v>
      </c>
      <c r="C98" t="s">
        <v>2</v>
      </c>
      <c r="D98">
        <v>1.1259277585353786</v>
      </c>
    </row>
    <row r="99" spans="1:4" x14ac:dyDescent="0.25">
      <c r="A99" t="s">
        <v>60</v>
      </c>
      <c r="B99">
        <v>1</v>
      </c>
      <c r="C99" t="s">
        <v>2</v>
      </c>
      <c r="D99">
        <v>1.091044037605146</v>
      </c>
    </row>
    <row r="100" spans="1:4" x14ac:dyDescent="0.25">
      <c r="A100" t="s">
        <v>60</v>
      </c>
      <c r="B100">
        <v>1</v>
      </c>
      <c r="C100" t="s">
        <v>2</v>
      </c>
      <c r="D100">
        <v>0.9205838693715982</v>
      </c>
    </row>
    <row r="101" spans="1:4" x14ac:dyDescent="0.25">
      <c r="A101" t="s">
        <v>60</v>
      </c>
      <c r="B101">
        <v>1</v>
      </c>
      <c r="C101" t="s">
        <v>2</v>
      </c>
      <c r="D101">
        <v>1.0671725855220253</v>
      </c>
    </row>
    <row r="102" spans="1:4" x14ac:dyDescent="0.25">
      <c r="A102" t="s">
        <v>60</v>
      </c>
      <c r="B102">
        <v>1</v>
      </c>
      <c r="C102" t="s">
        <v>2</v>
      </c>
      <c r="D102">
        <v>1.01167961107488</v>
      </c>
    </row>
    <row r="103" spans="1:4" x14ac:dyDescent="0.25">
      <c r="A103" t="s">
        <v>60</v>
      </c>
      <c r="B103">
        <v>1</v>
      </c>
      <c r="C103" t="s">
        <v>2</v>
      </c>
      <c r="D103">
        <v>1.0276871998577104</v>
      </c>
    </row>
    <row r="104" spans="1:4" x14ac:dyDescent="0.25">
      <c r="A104" t="s">
        <v>60</v>
      </c>
      <c r="B104">
        <v>1</v>
      </c>
      <c r="C104" t="s">
        <v>2</v>
      </c>
      <c r="D104">
        <v>1.1001660577881103</v>
      </c>
    </row>
    <row r="105" spans="1:4" x14ac:dyDescent="0.25">
      <c r="A105" t="s">
        <v>60</v>
      </c>
      <c r="B105">
        <v>1</v>
      </c>
      <c r="C105" t="s">
        <v>2</v>
      </c>
      <c r="D105">
        <v>1.0334108269677849</v>
      </c>
    </row>
    <row r="106" spans="1:4" x14ac:dyDescent="0.25">
      <c r="A106" t="s">
        <v>60</v>
      </c>
      <c r="B106">
        <v>1</v>
      </c>
      <c r="C106" t="s">
        <v>2</v>
      </c>
      <c r="D106">
        <v>0.97283294586516111</v>
      </c>
    </row>
    <row r="107" spans="1:4" x14ac:dyDescent="0.25">
      <c r="A107" t="s">
        <v>60</v>
      </c>
      <c r="B107">
        <v>1</v>
      </c>
      <c r="C107" t="s">
        <v>3</v>
      </c>
      <c r="D107">
        <v>1.4868876793666501</v>
      </c>
    </row>
    <row r="108" spans="1:4" x14ac:dyDescent="0.25">
      <c r="A108" t="s">
        <v>60</v>
      </c>
      <c r="B108">
        <v>1</v>
      </c>
      <c r="C108" t="s">
        <v>3</v>
      </c>
      <c r="D108">
        <v>1.0804057397328055</v>
      </c>
    </row>
    <row r="109" spans="1:4" x14ac:dyDescent="0.25">
      <c r="A109" t="s">
        <v>60</v>
      </c>
      <c r="B109">
        <v>1</v>
      </c>
      <c r="C109" t="s">
        <v>3</v>
      </c>
      <c r="D109">
        <v>1.0294408708560119</v>
      </c>
    </row>
    <row r="110" spans="1:4" x14ac:dyDescent="0.25">
      <c r="A110" t="s">
        <v>60</v>
      </c>
      <c r="B110">
        <v>1</v>
      </c>
      <c r="C110" t="s">
        <v>3</v>
      </c>
      <c r="D110">
        <v>1.2649552380387741</v>
      </c>
    </row>
    <row r="111" spans="1:4" x14ac:dyDescent="0.25">
      <c r="A111" t="s">
        <v>60</v>
      </c>
      <c r="B111">
        <v>1</v>
      </c>
      <c r="C111" t="s">
        <v>3</v>
      </c>
      <c r="D111">
        <v>1.0751763799134404</v>
      </c>
    </row>
    <row r="112" spans="1:4" x14ac:dyDescent="0.25">
      <c r="A112" t="s">
        <v>60</v>
      </c>
      <c r="B112">
        <v>1</v>
      </c>
      <c r="C112" t="s">
        <v>3</v>
      </c>
      <c r="D112">
        <v>1.0655718266437422</v>
      </c>
    </row>
    <row r="113" spans="1:4" x14ac:dyDescent="0.25">
      <c r="A113" t="s">
        <v>60</v>
      </c>
      <c r="B113">
        <v>1</v>
      </c>
      <c r="C113" t="s">
        <v>3</v>
      </c>
      <c r="D113">
        <v>1.1591497841248755</v>
      </c>
    </row>
    <row r="114" spans="1:4" x14ac:dyDescent="0.25">
      <c r="A114" t="s">
        <v>60</v>
      </c>
      <c r="B114">
        <v>1</v>
      </c>
      <c r="C114" t="s">
        <v>3</v>
      </c>
      <c r="D114">
        <v>1.0262371305214215</v>
      </c>
    </row>
    <row r="115" spans="1:4" x14ac:dyDescent="0.25">
      <c r="A115" t="s">
        <v>60</v>
      </c>
      <c r="B115">
        <v>1</v>
      </c>
      <c r="C115" t="s">
        <v>3</v>
      </c>
      <c r="D115">
        <v>0.88674858850880112</v>
      </c>
    </row>
    <row r="116" spans="1:4" x14ac:dyDescent="0.25">
      <c r="A116" t="s">
        <v>66</v>
      </c>
      <c r="B116">
        <v>0.1</v>
      </c>
      <c r="C116" t="s">
        <v>2</v>
      </c>
      <c r="D116">
        <v>1.0845430550973276</v>
      </c>
    </row>
    <row r="117" spans="1:4" x14ac:dyDescent="0.25">
      <c r="A117" t="s">
        <v>66</v>
      </c>
      <c r="B117">
        <v>0.1</v>
      </c>
      <c r="C117" t="s">
        <v>2</v>
      </c>
      <c r="D117">
        <v>1.0486638073243153</v>
      </c>
    </row>
    <row r="118" spans="1:4" x14ac:dyDescent="0.25">
      <c r="A118" t="s">
        <v>66</v>
      </c>
      <c r="B118">
        <v>0.1</v>
      </c>
      <c r="C118" t="s">
        <v>2</v>
      </c>
      <c r="D118">
        <v>0.98408116133289336</v>
      </c>
    </row>
    <row r="119" spans="1:4" x14ac:dyDescent="0.25">
      <c r="A119" t="s">
        <v>66</v>
      </c>
      <c r="B119">
        <v>0.1</v>
      </c>
      <c r="C119" t="s">
        <v>2</v>
      </c>
      <c r="D119">
        <v>1.0404932708839747</v>
      </c>
    </row>
    <row r="120" spans="1:4" x14ac:dyDescent="0.25">
      <c r="A120" t="s">
        <v>66</v>
      </c>
      <c r="B120">
        <v>0.1</v>
      </c>
      <c r="C120" t="s">
        <v>2</v>
      </c>
      <c r="D120">
        <v>1.0102567142941841</v>
      </c>
    </row>
    <row r="121" spans="1:4" x14ac:dyDescent="0.25">
      <c r="A121" t="s">
        <v>66</v>
      </c>
      <c r="B121">
        <v>0.1</v>
      </c>
      <c r="C121" t="s">
        <v>2</v>
      </c>
      <c r="D121">
        <v>0.94925001482184157</v>
      </c>
    </row>
    <row r="122" spans="1:4" x14ac:dyDescent="0.25">
      <c r="A122" t="s">
        <v>66</v>
      </c>
      <c r="B122">
        <v>0.1</v>
      </c>
      <c r="C122" t="s">
        <v>2</v>
      </c>
      <c r="D122">
        <v>1.05453337761541</v>
      </c>
    </row>
    <row r="123" spans="1:4" x14ac:dyDescent="0.25">
      <c r="A123" t="s">
        <v>66</v>
      </c>
      <c r="B123">
        <v>0.1</v>
      </c>
      <c r="C123" t="s">
        <v>2</v>
      </c>
      <c r="D123">
        <v>1.0051145798737962</v>
      </c>
    </row>
    <row r="124" spans="1:4" x14ac:dyDescent="0.25">
      <c r="A124" t="s">
        <v>66</v>
      </c>
      <c r="B124">
        <v>0.1</v>
      </c>
      <c r="C124" t="s">
        <v>2</v>
      </c>
      <c r="D124">
        <v>0.94035204251079385</v>
      </c>
    </row>
    <row r="125" spans="1:4" x14ac:dyDescent="0.25">
      <c r="A125" t="s">
        <v>66</v>
      </c>
      <c r="B125">
        <v>0.1</v>
      </c>
      <c r="C125" t="s">
        <v>3</v>
      </c>
      <c r="D125">
        <v>0.99496865720884198</v>
      </c>
    </row>
    <row r="126" spans="1:4" x14ac:dyDescent="0.25">
      <c r="A126" t="s">
        <v>66</v>
      </c>
      <c r="B126">
        <v>0.1</v>
      </c>
      <c r="C126" t="s">
        <v>3</v>
      </c>
      <c r="D126">
        <v>0.98111184427581655</v>
      </c>
    </row>
    <row r="127" spans="1:4" x14ac:dyDescent="0.25">
      <c r="A127" t="s">
        <v>66</v>
      </c>
      <c r="B127">
        <v>0.1</v>
      </c>
      <c r="C127" t="s">
        <v>3</v>
      </c>
      <c r="D127">
        <v>1.0239194985153415</v>
      </c>
    </row>
    <row r="128" spans="1:4" x14ac:dyDescent="0.25">
      <c r="A128" t="s">
        <v>66</v>
      </c>
      <c r="B128">
        <v>0.1</v>
      </c>
      <c r="C128" t="s">
        <v>3</v>
      </c>
      <c r="D128">
        <v>1.2066164700302366</v>
      </c>
    </row>
    <row r="129" spans="1:4" x14ac:dyDescent="0.25">
      <c r="A129" t="s">
        <v>66</v>
      </c>
      <c r="B129">
        <v>0.1</v>
      </c>
      <c r="C129" t="s">
        <v>3</v>
      </c>
      <c r="D129">
        <v>1.2069721942254106</v>
      </c>
    </row>
    <row r="130" spans="1:4" x14ac:dyDescent="0.25">
      <c r="A130" t="s">
        <v>66</v>
      </c>
      <c r="B130">
        <v>0.1</v>
      </c>
      <c r="C130" t="s">
        <v>3</v>
      </c>
      <c r="D130">
        <v>1.1306693543605859</v>
      </c>
    </row>
    <row r="131" spans="1:4" x14ac:dyDescent="0.25">
      <c r="A131" t="s">
        <v>66</v>
      </c>
      <c r="B131">
        <v>0.1</v>
      </c>
      <c r="C131" t="s">
        <v>3</v>
      </c>
      <c r="D131">
        <v>1.2874792427764863</v>
      </c>
    </row>
    <row r="132" spans="1:4" x14ac:dyDescent="0.25">
      <c r="A132" t="s">
        <v>66</v>
      </c>
      <c r="B132">
        <v>0.1</v>
      </c>
      <c r="C132" t="s">
        <v>3</v>
      </c>
      <c r="D132">
        <v>1.1250747260046496</v>
      </c>
    </row>
    <row r="133" spans="1:4" x14ac:dyDescent="0.25">
      <c r="A133" t="s">
        <v>66</v>
      </c>
      <c r="B133">
        <v>0.1</v>
      </c>
      <c r="C133" t="s">
        <v>3</v>
      </c>
      <c r="D133">
        <v>1.0160743938890735</v>
      </c>
    </row>
    <row r="134" spans="1:4" x14ac:dyDescent="0.25">
      <c r="A134" t="s">
        <v>62</v>
      </c>
      <c r="B134">
        <v>1</v>
      </c>
      <c r="C134" t="s">
        <v>2</v>
      </c>
      <c r="D134" s="13">
        <v>1.4239864864864866</v>
      </c>
    </row>
    <row r="135" spans="1:4" x14ac:dyDescent="0.25">
      <c r="A135" t="s">
        <v>62</v>
      </c>
      <c r="B135">
        <v>1</v>
      </c>
      <c r="C135" t="s">
        <v>2</v>
      </c>
      <c r="D135" s="13">
        <v>0.94688990461049294</v>
      </c>
    </row>
    <row r="136" spans="1:4" x14ac:dyDescent="0.25">
      <c r="A136" t="s">
        <v>62</v>
      </c>
      <c r="B136">
        <v>1</v>
      </c>
      <c r="C136" t="s">
        <v>2</v>
      </c>
      <c r="D136" s="13">
        <v>0.66683227344992058</v>
      </c>
    </row>
    <row r="137" spans="1:4" x14ac:dyDescent="0.25">
      <c r="A137" t="s">
        <v>62</v>
      </c>
      <c r="B137">
        <v>1</v>
      </c>
      <c r="C137" t="s">
        <v>2</v>
      </c>
      <c r="D137" s="15">
        <v>0.95295232080833592</v>
      </c>
    </row>
    <row r="138" spans="1:4" x14ac:dyDescent="0.25">
      <c r="A138" t="s">
        <v>62</v>
      </c>
      <c r="B138">
        <v>1</v>
      </c>
      <c r="C138" t="s">
        <v>2</v>
      </c>
      <c r="D138" s="15">
        <v>0.92940592719563353</v>
      </c>
    </row>
    <row r="139" spans="1:4" x14ac:dyDescent="0.25">
      <c r="A139" t="s">
        <v>62</v>
      </c>
      <c r="B139">
        <v>1</v>
      </c>
      <c r="C139" t="s">
        <v>2</v>
      </c>
      <c r="D139" s="15">
        <v>0.64860841715909601</v>
      </c>
    </row>
    <row r="140" spans="1:4" x14ac:dyDescent="0.25">
      <c r="A140" t="s">
        <v>62</v>
      </c>
      <c r="B140">
        <v>1</v>
      </c>
      <c r="C140" t="s">
        <v>2</v>
      </c>
      <c r="D140" s="15">
        <v>1.5953936545240892</v>
      </c>
    </row>
    <row r="141" spans="1:4" x14ac:dyDescent="0.25">
      <c r="A141" t="s">
        <v>62</v>
      </c>
      <c r="B141">
        <v>1</v>
      </c>
      <c r="C141" t="s">
        <v>2</v>
      </c>
      <c r="D141" s="15">
        <v>0.96324324324324317</v>
      </c>
    </row>
    <row r="142" spans="1:4" x14ac:dyDescent="0.25">
      <c r="A142" t="s">
        <v>62</v>
      </c>
      <c r="B142">
        <v>1</v>
      </c>
      <c r="C142" t="s">
        <v>2</v>
      </c>
      <c r="D142" s="15">
        <v>0.62721504112808457</v>
      </c>
    </row>
    <row r="143" spans="1:4" x14ac:dyDescent="0.25">
      <c r="A143" t="s">
        <v>62</v>
      </c>
      <c r="B143">
        <v>1</v>
      </c>
      <c r="C143" t="s">
        <v>3</v>
      </c>
      <c r="D143" s="13">
        <v>0.90083465818759945</v>
      </c>
    </row>
    <row r="144" spans="1:4" x14ac:dyDescent="0.25">
      <c r="A144" t="s">
        <v>62</v>
      </c>
      <c r="B144">
        <v>1</v>
      </c>
      <c r="C144" t="s">
        <v>3</v>
      </c>
      <c r="D144" s="13">
        <v>0.88906001589825123</v>
      </c>
    </row>
    <row r="145" spans="1:4" x14ac:dyDescent="0.25">
      <c r="A145" t="s">
        <v>62</v>
      </c>
      <c r="B145">
        <v>1</v>
      </c>
      <c r="C145" t="s">
        <v>3</v>
      </c>
      <c r="D145" s="13">
        <v>0.88294912559618444</v>
      </c>
    </row>
    <row r="146" spans="1:4" x14ac:dyDescent="0.25">
      <c r="A146" t="s">
        <v>62</v>
      </c>
      <c r="B146">
        <v>1</v>
      </c>
      <c r="C146" t="s">
        <v>3</v>
      </c>
      <c r="D146" s="15">
        <v>1.108033740809238</v>
      </c>
    </row>
    <row r="147" spans="1:4" x14ac:dyDescent="0.25">
      <c r="A147" t="s">
        <v>62</v>
      </c>
      <c r="B147">
        <v>1</v>
      </c>
      <c r="C147" t="s">
        <v>3</v>
      </c>
      <c r="D147" s="15">
        <v>1.0451080337408092</v>
      </c>
    </row>
    <row r="148" spans="1:4" x14ac:dyDescent="0.25">
      <c r="A148" t="s">
        <v>62</v>
      </c>
      <c r="B148">
        <v>1</v>
      </c>
      <c r="C148" t="s">
        <v>3</v>
      </c>
      <c r="D148" s="15">
        <v>1.0204790473183274</v>
      </c>
    </row>
    <row r="149" spans="1:4" x14ac:dyDescent="0.25">
      <c r="A149" t="s">
        <v>62</v>
      </c>
      <c r="B149">
        <v>1</v>
      </c>
      <c r="C149" t="s">
        <v>3</v>
      </c>
      <c r="D149" s="15">
        <v>1.0041363102232668</v>
      </c>
    </row>
    <row r="150" spans="1:4" x14ac:dyDescent="0.25">
      <c r="A150" t="s">
        <v>62</v>
      </c>
      <c r="B150">
        <v>1</v>
      </c>
      <c r="C150" t="s">
        <v>3</v>
      </c>
      <c r="D150" s="15">
        <v>0.96662749706227968</v>
      </c>
    </row>
    <row r="151" spans="1:4" x14ac:dyDescent="0.25">
      <c r="A151" t="s">
        <v>62</v>
      </c>
      <c r="B151">
        <v>1</v>
      </c>
      <c r="C151" t="s">
        <v>3</v>
      </c>
      <c r="D151" s="15">
        <v>0.98495887191539366</v>
      </c>
    </row>
    <row r="152" spans="1:4" x14ac:dyDescent="0.25">
      <c r="A152" t="s">
        <v>61</v>
      </c>
      <c r="B152">
        <v>1</v>
      </c>
      <c r="C152" t="s">
        <v>2</v>
      </c>
      <c r="D152">
        <v>1.0257352941176472</v>
      </c>
    </row>
    <row r="153" spans="1:4" x14ac:dyDescent="0.25">
      <c r="A153" t="s">
        <v>61</v>
      </c>
      <c r="B153">
        <v>1</v>
      </c>
      <c r="C153" t="s">
        <v>2</v>
      </c>
      <c r="D153">
        <v>0.99950317965023849</v>
      </c>
    </row>
    <row r="154" spans="1:4" x14ac:dyDescent="0.25">
      <c r="A154" t="s">
        <v>61</v>
      </c>
      <c r="B154">
        <v>1</v>
      </c>
      <c r="C154" t="s">
        <v>2</v>
      </c>
      <c r="D154">
        <v>0.90918124006359302</v>
      </c>
    </row>
    <row r="155" spans="1:4" x14ac:dyDescent="0.25">
      <c r="A155" t="s">
        <v>61</v>
      </c>
      <c r="B155">
        <v>1</v>
      </c>
      <c r="C155" t="s">
        <v>2</v>
      </c>
      <c r="D155">
        <v>1.030493030808787</v>
      </c>
    </row>
    <row r="156" spans="1:4" x14ac:dyDescent="0.25">
      <c r="A156" t="s">
        <v>61</v>
      </c>
      <c r="B156">
        <v>1</v>
      </c>
      <c r="C156" t="s">
        <v>2</v>
      </c>
      <c r="D156">
        <v>0.89395101267535748</v>
      </c>
    </row>
    <row r="157" spans="1:4" x14ac:dyDescent="0.25">
      <c r="A157" t="s">
        <v>61</v>
      </c>
      <c r="B157">
        <v>1</v>
      </c>
      <c r="C157" t="s">
        <v>2</v>
      </c>
      <c r="D157">
        <v>0.8633677657990888</v>
      </c>
    </row>
    <row r="158" spans="1:4" x14ac:dyDescent="0.25">
      <c r="A158" t="s">
        <v>61</v>
      </c>
      <c r="B158">
        <v>1</v>
      </c>
      <c r="C158" t="s">
        <v>2</v>
      </c>
      <c r="D158">
        <v>1.0127379553466509</v>
      </c>
    </row>
    <row r="159" spans="1:4" x14ac:dyDescent="0.25">
      <c r="A159" t="s">
        <v>61</v>
      </c>
      <c r="B159">
        <v>1</v>
      </c>
      <c r="C159" t="s">
        <v>2</v>
      </c>
      <c r="D159">
        <v>0.89034077555816682</v>
      </c>
    </row>
    <row r="160" spans="1:4" x14ac:dyDescent="0.25">
      <c r="A160" t="s">
        <v>61</v>
      </c>
      <c r="B160">
        <v>1</v>
      </c>
      <c r="C160" t="s">
        <v>2</v>
      </c>
      <c r="D160">
        <v>1.1713748531139836</v>
      </c>
    </row>
    <row r="161" spans="1:4" x14ac:dyDescent="0.25">
      <c r="A161" t="s">
        <v>61</v>
      </c>
      <c r="B161">
        <v>1</v>
      </c>
      <c r="C161" t="s">
        <v>3</v>
      </c>
      <c r="D161">
        <v>1.0439189189189189</v>
      </c>
    </row>
    <row r="162" spans="1:4" x14ac:dyDescent="0.25">
      <c r="A162" t="s">
        <v>61</v>
      </c>
      <c r="B162">
        <v>1</v>
      </c>
      <c r="C162" t="s">
        <v>3</v>
      </c>
      <c r="D162">
        <v>0.95613076311605727</v>
      </c>
    </row>
    <row r="163" spans="1:4" x14ac:dyDescent="0.25">
      <c r="A163" t="s">
        <v>61</v>
      </c>
      <c r="B163">
        <v>1</v>
      </c>
      <c r="C163" t="s">
        <v>3</v>
      </c>
      <c r="D163">
        <v>0.94688990461049294</v>
      </c>
    </row>
    <row r="164" spans="1:4" x14ac:dyDescent="0.25">
      <c r="A164" t="s">
        <v>61</v>
      </c>
      <c r="B164">
        <v>1</v>
      </c>
      <c r="C164" t="s">
        <v>3</v>
      </c>
      <c r="D164">
        <v>1.0513329423970408</v>
      </c>
    </row>
    <row r="165" spans="1:4" x14ac:dyDescent="0.25">
      <c r="A165" t="s">
        <v>61</v>
      </c>
      <c r="B165">
        <v>1</v>
      </c>
      <c r="C165" t="s">
        <v>3</v>
      </c>
      <c r="D165">
        <v>0.9579593125535657</v>
      </c>
    </row>
    <row r="166" spans="1:4" x14ac:dyDescent="0.25">
      <c r="A166" t="s">
        <v>61</v>
      </c>
      <c r="B166">
        <v>1</v>
      </c>
      <c r="C166" t="s">
        <v>3</v>
      </c>
      <c r="D166">
        <v>0.92940592719563353</v>
      </c>
    </row>
    <row r="167" spans="1:4" x14ac:dyDescent="0.25">
      <c r="A167" t="s">
        <v>61</v>
      </c>
      <c r="B167">
        <v>1</v>
      </c>
      <c r="C167" t="s">
        <v>3</v>
      </c>
      <c r="D167">
        <v>1.030364277320799</v>
      </c>
    </row>
    <row r="168" spans="1:4" x14ac:dyDescent="0.25">
      <c r="A168" t="s">
        <v>61</v>
      </c>
      <c r="B168">
        <v>1</v>
      </c>
      <c r="C168" t="s">
        <v>3</v>
      </c>
      <c r="D168">
        <v>0.96972972972972971</v>
      </c>
    </row>
    <row r="169" spans="1:4" x14ac:dyDescent="0.25">
      <c r="A169" t="s">
        <v>61</v>
      </c>
      <c r="B169">
        <v>1</v>
      </c>
      <c r="C169" t="s">
        <v>3</v>
      </c>
      <c r="D169">
        <v>0.96324324324324317</v>
      </c>
    </row>
    <row r="170" spans="1:4" x14ac:dyDescent="0.25">
      <c r="A170" t="s">
        <v>63</v>
      </c>
      <c r="B170">
        <v>1</v>
      </c>
      <c r="C170" t="s">
        <v>2</v>
      </c>
      <c r="D170">
        <v>1.2354723587637197</v>
      </c>
    </row>
    <row r="171" spans="1:4" x14ac:dyDescent="0.25">
      <c r="A171" t="s">
        <v>63</v>
      </c>
      <c r="B171">
        <v>1</v>
      </c>
      <c r="C171" t="s">
        <v>2</v>
      </c>
      <c r="D171">
        <v>0.80499629654568716</v>
      </c>
    </row>
    <row r="172" spans="1:4" x14ac:dyDescent="0.25">
      <c r="A172" t="s">
        <v>63</v>
      </c>
      <c r="B172">
        <v>1</v>
      </c>
      <c r="C172" t="s">
        <v>2</v>
      </c>
      <c r="D172">
        <v>0.78338159046528855</v>
      </c>
    </row>
    <row r="173" spans="1:4" x14ac:dyDescent="0.25">
      <c r="A173" t="s">
        <v>63</v>
      </c>
      <c r="B173">
        <v>1</v>
      </c>
      <c r="C173" t="s">
        <v>2</v>
      </c>
      <c r="D173">
        <v>1.2036170076316295</v>
      </c>
    </row>
    <row r="174" spans="1:4" x14ac:dyDescent="0.25">
      <c r="A174" t="s">
        <v>63</v>
      </c>
      <c r="B174">
        <v>1</v>
      </c>
      <c r="C174" t="s">
        <v>2</v>
      </c>
      <c r="D174">
        <v>0.91733470146860763</v>
      </c>
    </row>
    <row r="175" spans="1:4" x14ac:dyDescent="0.25">
      <c r="A175" t="s">
        <v>63</v>
      </c>
      <c r="B175">
        <v>1</v>
      </c>
      <c r="C175" t="s">
        <v>2</v>
      </c>
      <c r="D175">
        <v>0.76341948310139163</v>
      </c>
    </row>
    <row r="176" spans="1:4" x14ac:dyDescent="0.25">
      <c r="A176" t="s">
        <v>63</v>
      </c>
      <c r="B176">
        <v>1</v>
      </c>
      <c r="C176" t="s">
        <v>2</v>
      </c>
      <c r="D176">
        <v>1.1110972878825578</v>
      </c>
    </row>
    <row r="177" spans="1:4" x14ac:dyDescent="0.25">
      <c r="A177" t="s">
        <v>63</v>
      </c>
      <c r="B177">
        <v>1</v>
      </c>
      <c r="C177" t="s">
        <v>2</v>
      </c>
      <c r="D177">
        <v>1.5289251057476982</v>
      </c>
    </row>
    <row r="178" spans="1:4" x14ac:dyDescent="0.25">
      <c r="A178" t="s">
        <v>63</v>
      </c>
      <c r="B178">
        <v>1</v>
      </c>
      <c r="C178" t="s">
        <v>2</v>
      </c>
      <c r="D178">
        <v>1.1932072654889274</v>
      </c>
    </row>
    <row r="179" spans="1:4" x14ac:dyDescent="0.25">
      <c r="A179" t="s">
        <v>63</v>
      </c>
      <c r="B179">
        <v>1</v>
      </c>
      <c r="C179" t="s">
        <v>3</v>
      </c>
      <c r="D179">
        <v>1.4378829708437144</v>
      </c>
    </row>
    <row r="180" spans="1:4" x14ac:dyDescent="0.25">
      <c r="A180" t="s">
        <v>63</v>
      </c>
      <c r="B180">
        <v>1</v>
      </c>
      <c r="C180" t="s">
        <v>3</v>
      </c>
      <c r="D180">
        <v>1.4013197764460306</v>
      </c>
    </row>
    <row r="181" spans="1:4" x14ac:dyDescent="0.25">
      <c r="A181" t="s">
        <v>63</v>
      </c>
      <c r="B181">
        <v>1</v>
      </c>
      <c r="C181" t="s">
        <v>3</v>
      </c>
      <c r="D181">
        <v>1.6792808565079793</v>
      </c>
    </row>
    <row r="182" spans="1:4" x14ac:dyDescent="0.25">
      <c r="A182" t="s">
        <v>63</v>
      </c>
      <c r="B182">
        <v>1</v>
      </c>
      <c r="C182" t="s">
        <v>3</v>
      </c>
      <c r="D182">
        <v>1.362149682549862</v>
      </c>
    </row>
    <row r="183" spans="1:4" x14ac:dyDescent="0.25">
      <c r="A183" t="s">
        <v>63</v>
      </c>
      <c r="B183">
        <v>1</v>
      </c>
      <c r="C183" t="s">
        <v>3</v>
      </c>
      <c r="D183">
        <v>1.276341948310139</v>
      </c>
    </row>
    <row r="184" spans="1:4" x14ac:dyDescent="0.25">
      <c r="A184" t="s">
        <v>63</v>
      </c>
      <c r="B184">
        <v>1</v>
      </c>
      <c r="C184" t="s">
        <v>3</v>
      </c>
      <c r="D184">
        <v>1.4077470659911497</v>
      </c>
    </row>
    <row r="185" spans="1:4" x14ac:dyDescent="0.25">
      <c r="A185" t="s">
        <v>63</v>
      </c>
      <c r="B185">
        <v>1</v>
      </c>
      <c r="C185" t="s">
        <v>3</v>
      </c>
      <c r="D185">
        <v>1.1405822343866632</v>
      </c>
    </row>
    <row r="186" spans="1:4" x14ac:dyDescent="0.25">
      <c r="A186" t="s">
        <v>63</v>
      </c>
      <c r="B186">
        <v>1</v>
      </c>
      <c r="C186" t="s">
        <v>3</v>
      </c>
      <c r="D186">
        <v>1.0286140831052499</v>
      </c>
    </row>
    <row r="187" spans="1:4" x14ac:dyDescent="0.25">
      <c r="A187" t="s">
        <v>63</v>
      </c>
      <c r="B187">
        <v>1</v>
      </c>
      <c r="C187" t="s">
        <v>3</v>
      </c>
      <c r="D187">
        <v>1.0756407066434437</v>
      </c>
    </row>
    <row r="188" spans="1:4" x14ac:dyDescent="0.25">
      <c r="A188" t="s">
        <v>67</v>
      </c>
      <c r="B188">
        <v>0.1</v>
      </c>
      <c r="C188" t="s">
        <v>2</v>
      </c>
      <c r="D188">
        <v>0.98779280765423949</v>
      </c>
    </row>
    <row r="189" spans="1:4" x14ac:dyDescent="0.25">
      <c r="A189" t="s">
        <v>67</v>
      </c>
      <c r="B189">
        <v>0.1</v>
      </c>
      <c r="C189" t="s">
        <v>2</v>
      </c>
      <c r="D189">
        <v>0.86431870669745958</v>
      </c>
    </row>
    <row r="190" spans="1:4" x14ac:dyDescent="0.25">
      <c r="A190" t="s">
        <v>67</v>
      </c>
      <c r="B190">
        <v>0.1</v>
      </c>
      <c r="C190" t="s">
        <v>2</v>
      </c>
      <c r="D190">
        <v>0.8328934345100627</v>
      </c>
    </row>
    <row r="191" spans="1:4" x14ac:dyDescent="0.25">
      <c r="A191" t="s">
        <v>67</v>
      </c>
      <c r="B191">
        <v>0.1</v>
      </c>
      <c r="C191" t="s">
        <v>2</v>
      </c>
      <c r="D191">
        <v>1.3773640837137606</v>
      </c>
    </row>
    <row r="192" spans="1:4" x14ac:dyDescent="0.25">
      <c r="A192" t="s">
        <v>67</v>
      </c>
      <c r="B192">
        <v>0.1</v>
      </c>
      <c r="C192" t="s">
        <v>2</v>
      </c>
      <c r="D192">
        <v>1.1676646706586826</v>
      </c>
    </row>
    <row r="193" spans="1:4" x14ac:dyDescent="0.25">
      <c r="A193" t="s">
        <v>67</v>
      </c>
      <c r="B193">
        <v>0.1</v>
      </c>
      <c r="C193" t="s">
        <v>2</v>
      </c>
      <c r="D193">
        <v>1.0049208513665739</v>
      </c>
    </row>
    <row r="194" spans="1:4" x14ac:dyDescent="0.25">
      <c r="A194" t="s">
        <v>67</v>
      </c>
      <c r="B194">
        <v>0.1</v>
      </c>
      <c r="C194" t="s">
        <v>2</v>
      </c>
      <c r="D194">
        <v>1.2408502158751247</v>
      </c>
    </row>
    <row r="195" spans="1:4" x14ac:dyDescent="0.25">
      <c r="A195" t="s">
        <v>67</v>
      </c>
      <c r="B195">
        <v>0.1</v>
      </c>
      <c r="C195" t="s">
        <v>2</v>
      </c>
      <c r="D195">
        <v>1.1192959149784125</v>
      </c>
    </row>
    <row r="196" spans="1:4" x14ac:dyDescent="0.25">
      <c r="A196" t="s">
        <v>67</v>
      </c>
      <c r="B196">
        <v>0.1</v>
      </c>
      <c r="C196" t="s">
        <v>2</v>
      </c>
      <c r="D196">
        <v>0.96067751577548988</v>
      </c>
    </row>
    <row r="197" spans="1:4" x14ac:dyDescent="0.25">
      <c r="A197" t="s">
        <v>67</v>
      </c>
      <c r="B197">
        <v>0.1</v>
      </c>
      <c r="C197" t="s">
        <v>3</v>
      </c>
      <c r="D197">
        <v>1.0674694820191355</v>
      </c>
    </row>
    <row r="198" spans="1:4" x14ac:dyDescent="0.25">
      <c r="A198" t="s">
        <v>67</v>
      </c>
      <c r="B198">
        <v>0.1</v>
      </c>
      <c r="C198" t="s">
        <v>3</v>
      </c>
      <c r="D198">
        <v>1.0828109534806993</v>
      </c>
    </row>
    <row r="199" spans="1:4" x14ac:dyDescent="0.25">
      <c r="A199" t="s">
        <v>67</v>
      </c>
      <c r="B199">
        <v>0.1</v>
      </c>
      <c r="C199" t="s">
        <v>3</v>
      </c>
      <c r="D199">
        <v>1.0370339821840977</v>
      </c>
    </row>
    <row r="200" spans="1:4" x14ac:dyDescent="0.25">
      <c r="A200" t="s">
        <v>67</v>
      </c>
      <c r="B200">
        <v>0.1</v>
      </c>
      <c r="C200" t="s">
        <v>3</v>
      </c>
      <c r="D200">
        <v>1.3286298689749214</v>
      </c>
    </row>
    <row r="201" spans="1:4" x14ac:dyDescent="0.25">
      <c r="A201" t="s">
        <v>67</v>
      </c>
      <c r="B201">
        <v>0.1</v>
      </c>
      <c r="C201" t="s">
        <v>3</v>
      </c>
      <c r="D201">
        <v>0.99496057390170156</v>
      </c>
    </row>
    <row r="202" spans="1:4" x14ac:dyDescent="0.25">
      <c r="A202" t="s">
        <v>67</v>
      </c>
      <c r="B202">
        <v>0.1</v>
      </c>
      <c r="C202" t="s">
        <v>3</v>
      </c>
      <c r="D202">
        <v>1.096164107428707</v>
      </c>
    </row>
    <row r="203" spans="1:4" x14ac:dyDescent="0.25">
      <c r="A203" t="s">
        <v>67</v>
      </c>
      <c r="B203">
        <v>0.1</v>
      </c>
      <c r="C203" t="s">
        <v>3</v>
      </c>
      <c r="D203">
        <v>1.4502822982397876</v>
      </c>
    </row>
    <row r="204" spans="1:4" x14ac:dyDescent="0.25">
      <c r="A204" t="s">
        <v>67</v>
      </c>
      <c r="B204">
        <v>0.1</v>
      </c>
      <c r="C204" t="s">
        <v>3</v>
      </c>
      <c r="D204">
        <v>1.2408502158751247</v>
      </c>
    </row>
    <row r="205" spans="1:4" x14ac:dyDescent="0.25">
      <c r="A205" t="s">
        <v>67</v>
      </c>
      <c r="B205">
        <v>0.1</v>
      </c>
      <c r="C205" t="s">
        <v>3</v>
      </c>
      <c r="D205">
        <v>1.1900365327133844</v>
      </c>
    </row>
    <row r="206" spans="1:4" x14ac:dyDescent="0.25">
      <c r="A206" t="s">
        <v>64</v>
      </c>
      <c r="B206">
        <v>1</v>
      </c>
      <c r="C206" t="s">
        <v>2</v>
      </c>
      <c r="D206">
        <v>0.82438893003838132</v>
      </c>
    </row>
    <row r="207" spans="1:4" x14ac:dyDescent="0.25">
      <c r="A207" t="s">
        <v>64</v>
      </c>
      <c r="B207">
        <v>1</v>
      </c>
      <c r="C207" t="s">
        <v>2</v>
      </c>
      <c r="D207">
        <v>0.97064170762911595</v>
      </c>
    </row>
    <row r="208" spans="1:4" x14ac:dyDescent="0.25">
      <c r="A208" t="s">
        <v>64</v>
      </c>
      <c r="B208">
        <v>1</v>
      </c>
      <c r="C208" t="s">
        <v>2</v>
      </c>
      <c r="D208">
        <v>0.93670459901690128</v>
      </c>
    </row>
    <row r="209" spans="1:4" x14ac:dyDescent="0.25">
      <c r="A209" t="s">
        <v>64</v>
      </c>
      <c r="B209">
        <v>1</v>
      </c>
      <c r="C209" t="s">
        <v>2</v>
      </c>
      <c r="D209">
        <v>0.93869043801705887</v>
      </c>
    </row>
    <row r="210" spans="1:4" x14ac:dyDescent="0.25">
      <c r="A210" t="s">
        <v>64</v>
      </c>
      <c r="B210">
        <v>1</v>
      </c>
      <c r="C210" t="s">
        <v>2</v>
      </c>
      <c r="D210">
        <v>0.93888283204001788</v>
      </c>
    </row>
    <row r="211" spans="1:4" x14ac:dyDescent="0.25">
      <c r="A211" t="s">
        <v>64</v>
      </c>
      <c r="B211">
        <v>1</v>
      </c>
      <c r="C211" t="s">
        <v>2</v>
      </c>
      <c r="D211">
        <v>1.036811389726159</v>
      </c>
    </row>
    <row r="212" spans="1:4" x14ac:dyDescent="0.25">
      <c r="A212" t="s">
        <v>64</v>
      </c>
      <c r="B212">
        <v>1</v>
      </c>
      <c r="C212" t="s">
        <v>2</v>
      </c>
      <c r="D212">
        <v>1.1125901965663099</v>
      </c>
    </row>
    <row r="213" spans="1:4" x14ac:dyDescent="0.25">
      <c r="A213" t="s">
        <v>64</v>
      </c>
      <c r="B213">
        <v>1</v>
      </c>
      <c r="C213" t="s">
        <v>2</v>
      </c>
      <c r="D213">
        <v>1.1989922866384672</v>
      </c>
    </row>
    <row r="214" spans="1:4" x14ac:dyDescent="0.25">
      <c r="A214" t="s">
        <v>64</v>
      </c>
      <c r="B214">
        <v>1</v>
      </c>
      <c r="C214" t="s">
        <v>2</v>
      </c>
      <c r="D214">
        <v>1.3299950236377207</v>
      </c>
    </row>
    <row r="215" spans="1:4" x14ac:dyDescent="0.25">
      <c r="A215" t="s">
        <v>64</v>
      </c>
      <c r="B215">
        <v>1</v>
      </c>
      <c r="C215" t="s">
        <v>3</v>
      </c>
      <c r="D215">
        <v>0.91488788633762042</v>
      </c>
    </row>
    <row r="216" spans="1:4" x14ac:dyDescent="0.25">
      <c r="A216" t="s">
        <v>64</v>
      </c>
      <c r="B216">
        <v>1</v>
      </c>
      <c r="C216" t="s">
        <v>3</v>
      </c>
      <c r="D216">
        <v>0.93165443404484549</v>
      </c>
    </row>
    <row r="217" spans="1:4" x14ac:dyDescent="0.25">
      <c r="A217" t="s">
        <v>64</v>
      </c>
      <c r="B217">
        <v>1</v>
      </c>
      <c r="C217" t="s">
        <v>3</v>
      </c>
      <c r="D217">
        <v>0.80499629654568716</v>
      </c>
    </row>
    <row r="218" spans="1:4" x14ac:dyDescent="0.25">
      <c r="A218" t="s">
        <v>64</v>
      </c>
      <c r="B218">
        <v>1</v>
      </c>
      <c r="C218" t="s">
        <v>3</v>
      </c>
      <c r="D218">
        <v>0.96870390559866604</v>
      </c>
    </row>
    <row r="219" spans="1:4" x14ac:dyDescent="0.25">
      <c r="A219" t="s">
        <v>64</v>
      </c>
      <c r="B219">
        <v>1</v>
      </c>
      <c r="C219" t="s">
        <v>3</v>
      </c>
      <c r="D219">
        <v>0.89482460078240234</v>
      </c>
    </row>
    <row r="220" spans="1:4" x14ac:dyDescent="0.25">
      <c r="A220" t="s">
        <v>64</v>
      </c>
      <c r="B220">
        <v>1</v>
      </c>
      <c r="C220" t="s">
        <v>3</v>
      </c>
      <c r="D220">
        <v>0.91733470146860763</v>
      </c>
    </row>
    <row r="221" spans="1:4" x14ac:dyDescent="0.25">
      <c r="A221" t="s">
        <v>64</v>
      </c>
      <c r="B221">
        <v>1</v>
      </c>
      <c r="C221" t="s">
        <v>3</v>
      </c>
      <c r="D221">
        <v>1.0474620552376213</v>
      </c>
    </row>
    <row r="222" spans="1:4" x14ac:dyDescent="0.25">
      <c r="A222" t="s">
        <v>64</v>
      </c>
      <c r="B222">
        <v>1</v>
      </c>
      <c r="C222" t="s">
        <v>3</v>
      </c>
      <c r="D222">
        <v>1.1521522766857426</v>
      </c>
    </row>
    <row r="223" spans="1:4" x14ac:dyDescent="0.25">
      <c r="A223" t="s">
        <v>64</v>
      </c>
      <c r="B223">
        <v>1</v>
      </c>
      <c r="C223" t="s">
        <v>3</v>
      </c>
      <c r="D223">
        <v>1.5289251057476982</v>
      </c>
    </row>
    <row r="224" spans="1:4" x14ac:dyDescent="0.25">
      <c r="A224" t="s">
        <v>65</v>
      </c>
      <c r="B224">
        <v>1</v>
      </c>
      <c r="C224" t="s">
        <v>2</v>
      </c>
      <c r="D224">
        <v>1.0843641761504206</v>
      </c>
    </row>
    <row r="225" spans="1:4" x14ac:dyDescent="0.25">
      <c r="A225" t="s">
        <v>65</v>
      </c>
      <c r="B225">
        <v>1</v>
      </c>
      <c r="C225" t="s">
        <v>2</v>
      </c>
      <c r="D225">
        <v>0.98391885205343887</v>
      </c>
    </row>
    <row r="226" spans="1:4" x14ac:dyDescent="0.25">
      <c r="A226" t="s">
        <v>65</v>
      </c>
      <c r="B226">
        <v>1</v>
      </c>
      <c r="C226" t="s">
        <v>2</v>
      </c>
      <c r="D226">
        <v>0.99480455220188024</v>
      </c>
    </row>
    <row r="227" spans="1:4" x14ac:dyDescent="0.25">
      <c r="A227" t="s">
        <v>65</v>
      </c>
      <c r="B227">
        <v>1</v>
      </c>
      <c r="C227" t="s">
        <v>2</v>
      </c>
      <c r="D227">
        <v>1.0403154087863877</v>
      </c>
    </row>
    <row r="228" spans="1:4" x14ac:dyDescent="0.25">
      <c r="A228" t="s">
        <v>65</v>
      </c>
      <c r="B228">
        <v>1</v>
      </c>
      <c r="C228" t="s">
        <v>2</v>
      </c>
      <c r="D228">
        <v>0.94925001482184157</v>
      </c>
    </row>
    <row r="229" spans="1:4" x14ac:dyDescent="0.25">
      <c r="A229" t="s">
        <v>65</v>
      </c>
      <c r="B229">
        <v>1</v>
      </c>
      <c r="C229" t="s">
        <v>2</v>
      </c>
      <c r="D229">
        <v>1.2069721942254106</v>
      </c>
    </row>
    <row r="230" spans="1:4" x14ac:dyDescent="0.25">
      <c r="A230" t="s">
        <v>65</v>
      </c>
      <c r="B230">
        <v>1</v>
      </c>
      <c r="C230" t="s">
        <v>2</v>
      </c>
      <c r="D230">
        <v>1.0545333776154102</v>
      </c>
    </row>
    <row r="231" spans="1:4" x14ac:dyDescent="0.25">
      <c r="A231" t="s">
        <v>65</v>
      </c>
      <c r="B231">
        <v>1</v>
      </c>
      <c r="C231" t="s">
        <v>2</v>
      </c>
      <c r="D231">
        <v>0.94035204251079385</v>
      </c>
    </row>
    <row r="232" spans="1:4" x14ac:dyDescent="0.25">
      <c r="A232" t="s">
        <v>65</v>
      </c>
      <c r="B232">
        <v>1</v>
      </c>
      <c r="C232" t="s">
        <v>2</v>
      </c>
      <c r="D232">
        <v>1.1250747260046496</v>
      </c>
    </row>
    <row r="233" spans="1:4" x14ac:dyDescent="0.25">
      <c r="A233" t="s">
        <v>65</v>
      </c>
      <c r="B233">
        <v>1</v>
      </c>
      <c r="C233" t="s">
        <v>3</v>
      </c>
      <c r="D233">
        <v>1.0484908461157842</v>
      </c>
    </row>
    <row r="234" spans="1:4" x14ac:dyDescent="0.25">
      <c r="A234" t="s">
        <v>65</v>
      </c>
      <c r="B234">
        <v>1</v>
      </c>
      <c r="C234" t="s">
        <v>3</v>
      </c>
      <c r="D234">
        <v>1.0237506185056902</v>
      </c>
    </row>
    <row r="235" spans="1:4" x14ac:dyDescent="0.25">
      <c r="A235" t="s">
        <v>65</v>
      </c>
      <c r="B235">
        <v>1</v>
      </c>
      <c r="C235" t="s">
        <v>3</v>
      </c>
      <c r="D235">
        <v>0.98095002474022763</v>
      </c>
    </row>
    <row r="236" spans="1:4" x14ac:dyDescent="0.25">
      <c r="A236" t="s">
        <v>65</v>
      </c>
      <c r="B236">
        <v>1</v>
      </c>
      <c r="C236" t="s">
        <v>3</v>
      </c>
      <c r="D236">
        <v>1.0102567142941841</v>
      </c>
    </row>
    <row r="237" spans="1:4" x14ac:dyDescent="0.25">
      <c r="A237" t="s">
        <v>65</v>
      </c>
      <c r="B237">
        <v>1</v>
      </c>
      <c r="C237" t="s">
        <v>3</v>
      </c>
      <c r="D237">
        <v>1.2066164700302366</v>
      </c>
    </row>
    <row r="238" spans="1:4" x14ac:dyDescent="0.25">
      <c r="A238" t="s">
        <v>65</v>
      </c>
      <c r="B238">
        <v>1</v>
      </c>
      <c r="C238" t="s">
        <v>3</v>
      </c>
      <c r="D238">
        <v>1.1306693543605859</v>
      </c>
    </row>
    <row r="239" spans="1:4" x14ac:dyDescent="0.25">
      <c r="A239" t="s">
        <v>65</v>
      </c>
      <c r="B239">
        <v>1</v>
      </c>
      <c r="C239" t="s">
        <v>3</v>
      </c>
      <c r="D239">
        <v>1.0051145798737962</v>
      </c>
    </row>
    <row r="240" spans="1:4" x14ac:dyDescent="0.25">
      <c r="A240" t="s">
        <v>65</v>
      </c>
      <c r="B240">
        <v>1</v>
      </c>
      <c r="C240" t="s">
        <v>3</v>
      </c>
      <c r="D240">
        <v>1.2874792427764863</v>
      </c>
    </row>
    <row r="241" spans="1:4" x14ac:dyDescent="0.25">
      <c r="A241" t="s">
        <v>65</v>
      </c>
      <c r="B241">
        <v>1</v>
      </c>
      <c r="C241" t="s">
        <v>3</v>
      </c>
      <c r="D241">
        <v>1.0160743938890735</v>
      </c>
    </row>
  </sheetData>
  <autoFilter ref="A1:D1" xr:uid="{B86996D5-F16F-408E-AAAE-4D265DE73777}">
    <sortState xmlns:xlrd2="http://schemas.microsoft.com/office/spreadsheetml/2017/richdata2" ref="A2:D172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E377A-0312-409B-8275-AD66598FF52C}">
  <dimension ref="A1:E23"/>
  <sheetViews>
    <sheetView workbookViewId="0">
      <selection activeCell="H28" sqref="H28"/>
    </sheetView>
  </sheetViews>
  <sheetFormatPr baseColWidth="10" defaultRowHeight="15" x14ac:dyDescent="0.25"/>
  <cols>
    <col min="1" max="1" width="18" bestFit="1" customWidth="1"/>
    <col min="2" max="2" width="18" customWidth="1"/>
    <col min="3" max="3" width="16.140625" bestFit="1" customWidth="1"/>
    <col min="4" max="5" width="12" bestFit="1" customWidth="1"/>
  </cols>
  <sheetData>
    <row r="1" spans="1:5" x14ac:dyDescent="0.25">
      <c r="A1" t="s">
        <v>52</v>
      </c>
      <c r="B1" t="s">
        <v>68</v>
      </c>
      <c r="C1" t="s">
        <v>53</v>
      </c>
      <c r="D1" t="s">
        <v>54</v>
      </c>
      <c r="E1" t="s">
        <v>55</v>
      </c>
    </row>
    <row r="2" spans="1:5" x14ac:dyDescent="0.25">
      <c r="A2" t="s">
        <v>57</v>
      </c>
      <c r="B2">
        <v>1</v>
      </c>
      <c r="C2" t="s">
        <v>59</v>
      </c>
      <c r="D2">
        <v>0.98994554877447405</v>
      </c>
      <c r="E2">
        <v>6.6336753758247255E-2</v>
      </c>
    </row>
    <row r="3" spans="1:5" x14ac:dyDescent="0.25">
      <c r="A3" t="s">
        <v>58</v>
      </c>
      <c r="B3">
        <v>1</v>
      </c>
      <c r="C3" t="s">
        <v>59</v>
      </c>
      <c r="D3">
        <v>1</v>
      </c>
      <c r="E3">
        <v>5.7666790633300338E-2</v>
      </c>
    </row>
    <row r="4" spans="1:5" x14ac:dyDescent="0.25">
      <c r="A4" t="s">
        <v>60</v>
      </c>
      <c r="B4">
        <v>1</v>
      </c>
      <c r="C4" t="s">
        <v>2</v>
      </c>
      <c r="D4">
        <v>1.0389449880653103</v>
      </c>
      <c r="E4">
        <v>5.0784552708759555E-2</v>
      </c>
    </row>
    <row r="5" spans="1:5" x14ac:dyDescent="0.25">
      <c r="A5" t="s">
        <v>60</v>
      </c>
      <c r="B5">
        <v>1</v>
      </c>
      <c r="C5" t="s">
        <v>3</v>
      </c>
      <c r="D5">
        <v>1.1193970264118358</v>
      </c>
      <c r="E5">
        <v>0.12284480495439827</v>
      </c>
    </row>
    <row r="6" spans="1:5" x14ac:dyDescent="0.25">
      <c r="A6" t="s">
        <v>62</v>
      </c>
      <c r="B6">
        <v>1</v>
      </c>
      <c r="C6" t="s">
        <v>2</v>
      </c>
      <c r="D6">
        <v>0.97272525206726479</v>
      </c>
      <c r="E6">
        <v>0.23865103041689928</v>
      </c>
    </row>
    <row r="7" spans="1:5" x14ac:dyDescent="0.25">
      <c r="A7" t="s">
        <v>62</v>
      </c>
      <c r="B7">
        <v>1</v>
      </c>
      <c r="C7" t="s">
        <v>3</v>
      </c>
      <c r="D7">
        <v>0.9780208111945945</v>
      </c>
      <c r="E7">
        <v>6.0580432896458411E-2</v>
      </c>
    </row>
    <row r="8" spans="1:5" x14ac:dyDescent="0.25">
      <c r="A8" t="s">
        <v>61</v>
      </c>
      <c r="B8">
        <v>1</v>
      </c>
      <c r="C8" t="s">
        <v>2</v>
      </c>
      <c r="D8">
        <v>0.97740945634816812</v>
      </c>
      <c r="E8">
        <v>7.839934028810365E-2</v>
      </c>
    </row>
    <row r="9" spans="1:5" x14ac:dyDescent="0.25">
      <c r="A9" t="s">
        <v>61</v>
      </c>
      <c r="B9">
        <v>1</v>
      </c>
      <c r="C9" t="s">
        <v>3</v>
      </c>
      <c r="D9">
        <v>0.98321944656505345</v>
      </c>
      <c r="E9">
        <v>3.9101733098132967E-2</v>
      </c>
    </row>
    <row r="10" spans="1:5" x14ac:dyDescent="0.25">
      <c r="A10" t="s">
        <v>63</v>
      </c>
      <c r="B10">
        <v>1</v>
      </c>
      <c r="C10" t="s">
        <v>2</v>
      </c>
      <c r="D10">
        <v>1.060161233010612</v>
      </c>
      <c r="E10">
        <v>0.21589174676921619</v>
      </c>
    </row>
    <row r="11" spans="1:5" x14ac:dyDescent="0.25">
      <c r="A11" t="s">
        <v>63</v>
      </c>
      <c r="B11">
        <v>1</v>
      </c>
      <c r="C11" t="s">
        <v>3</v>
      </c>
      <c r="D11">
        <v>1.3121732583093593</v>
      </c>
      <c r="E11">
        <v>0.16166979128709788</v>
      </c>
    </row>
    <row r="12" spans="1:5" x14ac:dyDescent="0.25">
      <c r="A12" t="s">
        <v>64</v>
      </c>
      <c r="B12">
        <v>1</v>
      </c>
      <c r="C12" t="s">
        <v>2</v>
      </c>
      <c r="D12">
        <v>1.0319663781455701</v>
      </c>
      <c r="E12">
        <v>0.1223385297747502</v>
      </c>
    </row>
    <row r="13" spans="1:5" x14ac:dyDescent="0.25">
      <c r="A13" t="s">
        <v>64</v>
      </c>
      <c r="B13">
        <v>1</v>
      </c>
      <c r="C13" t="s">
        <v>3</v>
      </c>
      <c r="D13">
        <v>1.0178823624943212</v>
      </c>
      <c r="E13">
        <v>0.14997607781957742</v>
      </c>
    </row>
    <row r="14" spans="1:5" x14ac:dyDescent="0.25">
      <c r="A14" t="s">
        <v>65</v>
      </c>
      <c r="B14">
        <v>1</v>
      </c>
      <c r="C14" t="s">
        <v>2</v>
      </c>
      <c r="D14">
        <v>1.0421761493744703</v>
      </c>
      <c r="E14">
        <v>6.7164416999557677E-2</v>
      </c>
    </row>
    <row r="15" spans="1:5" x14ac:dyDescent="0.25">
      <c r="A15" t="s">
        <v>65</v>
      </c>
      <c r="B15">
        <v>1</v>
      </c>
      <c r="C15" t="s">
        <v>3</v>
      </c>
      <c r="D15">
        <v>1.0788224716206738</v>
      </c>
      <c r="E15">
        <v>8.6288367178952718E-2</v>
      </c>
    </row>
    <row r="16" spans="1:5" x14ac:dyDescent="0.25">
      <c r="A16" t="s">
        <v>56</v>
      </c>
      <c r="B16">
        <v>1</v>
      </c>
      <c r="C16" t="s">
        <v>59</v>
      </c>
      <c r="D16">
        <v>1.5820106679346932</v>
      </c>
      <c r="E16">
        <v>6.1386355404825448E-2</v>
      </c>
    </row>
    <row r="17" spans="1:5" x14ac:dyDescent="0.25">
      <c r="A17" t="s">
        <v>57</v>
      </c>
      <c r="B17">
        <v>0.1</v>
      </c>
      <c r="C17" t="s">
        <v>59</v>
      </c>
      <c r="D17">
        <v>1.0213499775956127</v>
      </c>
      <c r="E17">
        <v>3.3307661236247968E-2</v>
      </c>
    </row>
    <row r="18" spans="1:5" x14ac:dyDescent="0.25">
      <c r="A18" t="s">
        <v>58</v>
      </c>
      <c r="B18">
        <v>0.1</v>
      </c>
      <c r="C18" t="s">
        <v>59</v>
      </c>
      <c r="D18">
        <v>1</v>
      </c>
      <c r="E18">
        <v>2.9848320262823629E-2</v>
      </c>
    </row>
    <row r="19" spans="1:5" x14ac:dyDescent="0.25">
      <c r="A19" t="s">
        <v>66</v>
      </c>
      <c r="B19">
        <v>0.1</v>
      </c>
      <c r="C19" t="s">
        <v>2</v>
      </c>
      <c r="D19">
        <v>1.0130320026393929</v>
      </c>
      <c r="E19">
        <v>3.9134555636323495E-2</v>
      </c>
    </row>
    <row r="20" spans="1:5" x14ac:dyDescent="0.25">
      <c r="A20" t="s">
        <v>66</v>
      </c>
      <c r="B20">
        <v>0.1</v>
      </c>
      <c r="C20" t="s">
        <v>3</v>
      </c>
      <c r="D20">
        <v>1.1080984868096049</v>
      </c>
      <c r="E20">
        <v>9.2515456299854526E-2</v>
      </c>
    </row>
    <row r="21" spans="1:5" x14ac:dyDescent="0.25">
      <c r="A21" t="s">
        <v>67</v>
      </c>
      <c r="B21">
        <v>0.1</v>
      </c>
      <c r="C21" t="s">
        <v>2</v>
      </c>
      <c r="D21">
        <v>1.0617531334699786</v>
      </c>
      <c r="E21">
        <v>0.14625830029912593</v>
      </c>
    </row>
    <row r="22" spans="1:5" x14ac:dyDescent="0.25">
      <c r="A22" t="s">
        <v>67</v>
      </c>
      <c r="B22">
        <v>0.1</v>
      </c>
      <c r="C22" t="s">
        <v>3</v>
      </c>
      <c r="D22">
        <v>1.165359779424173</v>
      </c>
      <c r="E22">
        <v>0.12185773291256112</v>
      </c>
    </row>
    <row r="23" spans="1:5" x14ac:dyDescent="0.25">
      <c r="A23" t="s">
        <v>56</v>
      </c>
      <c r="B23">
        <v>0.1</v>
      </c>
      <c r="C23" t="s">
        <v>59</v>
      </c>
      <c r="D23">
        <v>1.5801726725655927</v>
      </c>
      <c r="E23">
        <v>5.5012780994589838E-2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1%</vt:lpstr>
      <vt:lpstr>0,1%</vt:lpstr>
      <vt:lpstr>Feuil2</vt:lpstr>
      <vt:lpstr>Feuil1</vt:lpstr>
    </vt:vector>
  </TitlesOfParts>
  <Company>CNRS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cachot</dc:creator>
  <cp:lastModifiedBy>Edgar DUSACRE</cp:lastModifiedBy>
  <dcterms:created xsi:type="dcterms:W3CDTF">2024-03-08T15:30:06Z</dcterms:created>
  <dcterms:modified xsi:type="dcterms:W3CDTF">2024-06-14T22:34:00Z</dcterms:modified>
</cp:coreProperties>
</file>