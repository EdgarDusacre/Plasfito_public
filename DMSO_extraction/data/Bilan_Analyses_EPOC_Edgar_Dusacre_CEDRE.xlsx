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bio-my.sharepoint.com/personal/edgdus_mba_ac_uk/Documents/Postdoc MBA/SCIENCE/PLASFITO/Final version 230726/data/"/>
    </mc:Choice>
  </mc:AlternateContent>
  <xr:revisionPtr revIDLastSave="2" documentId="13_ncr:1_{78A7EA21-A679-5B44-ABD4-9319AA523A16}" xr6:coauthVersionLast="47" xr6:coauthVersionMax="47" xr10:uidLastSave="{4282CFC1-DC4D-0F40-87F3-38075ED44C80}"/>
  <bookViews>
    <workbookView xWindow="0" yWindow="600" windowWidth="33600" windowHeight="18960" xr2:uid="{00000000-000D-0000-FFFF-FFFF00000000}"/>
  </bookViews>
  <sheets>
    <sheet name="Bilan_R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4" l="1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D39" i="14"/>
  <c r="V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D36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</calcChain>
</file>

<file path=xl/sharedStrings.xml><?xml version="1.0" encoding="utf-8"?>
<sst xmlns="http://schemas.openxmlformats.org/spreadsheetml/2006/main" count="494" uniqueCount="66">
  <si>
    <t>naphtalene</t>
  </si>
  <si>
    <t>&lt;LQ</t>
  </si>
  <si>
    <t>&lt;LD</t>
  </si>
  <si>
    <t>benzothiophene</t>
  </si>
  <si>
    <t xml:space="preserve">biphenyl </t>
  </si>
  <si>
    <t>acenaphtylene</t>
  </si>
  <si>
    <t>acenaphtene</t>
  </si>
  <si>
    <t>fluorene</t>
  </si>
  <si>
    <t>Dibenzothiophene</t>
  </si>
  <si>
    <t xml:space="preserve">Phenanthrene </t>
  </si>
  <si>
    <t>anthracene</t>
  </si>
  <si>
    <t>fluoranthene</t>
  </si>
  <si>
    <t>pyrene</t>
  </si>
  <si>
    <t>benzoaanthracene</t>
  </si>
  <si>
    <t>chrysene</t>
  </si>
  <si>
    <t>benzo[b+k]fluoranthene</t>
  </si>
  <si>
    <t>benzoepyrene</t>
  </si>
  <si>
    <t>benzoapyrene</t>
  </si>
  <si>
    <t>perylene</t>
  </si>
  <si>
    <t>indeno123cdpyrene</t>
  </si>
  <si>
    <t>dibenzoahanthracene</t>
  </si>
  <si>
    <t>benzo(ghi)péryléne</t>
  </si>
  <si>
    <t>BDE 28</t>
  </si>
  <si>
    <t>BDE 47</t>
  </si>
  <si>
    <t>BDE 100</t>
  </si>
  <si>
    <t>BDE 99</t>
  </si>
  <si>
    <t>BDE 154</t>
  </si>
  <si>
    <t>BDE 153</t>
  </si>
  <si>
    <t>BDE 183</t>
  </si>
  <si>
    <t>DMP</t>
  </si>
  <si>
    <t>DEP</t>
  </si>
  <si>
    <t>DBP</t>
  </si>
  <si>
    <t>BBP</t>
  </si>
  <si>
    <t>DEHA</t>
  </si>
  <si>
    <t>DEHP</t>
  </si>
  <si>
    <t>ATBC</t>
  </si>
  <si>
    <t>4-tOP</t>
  </si>
  <si>
    <t>4-NP</t>
  </si>
  <si>
    <t>Nonylphénols</t>
  </si>
  <si>
    <t xml:space="preserve">5_blank </t>
  </si>
  <si>
    <t xml:space="preserve">6_blank </t>
  </si>
  <si>
    <t xml:space="preserve">3_α35_n </t>
  </si>
  <si>
    <t>3_β33_n</t>
  </si>
  <si>
    <t xml:space="preserve">3_β95_n </t>
  </si>
  <si>
    <t xml:space="preserve">3_γ33_n </t>
  </si>
  <si>
    <t>3_γ60_n</t>
  </si>
  <si>
    <t>3_δ35_n</t>
  </si>
  <si>
    <t xml:space="preserve">3_δ60_n </t>
  </si>
  <si>
    <t>3_ε4,25_n</t>
  </si>
  <si>
    <t>3_α35_u</t>
  </si>
  <si>
    <t xml:space="preserve">3_β33_u </t>
  </si>
  <si>
    <t>3_β95_u</t>
  </si>
  <si>
    <t xml:space="preserve">3_γ33_u </t>
  </si>
  <si>
    <t>3_γ60_u</t>
  </si>
  <si>
    <t xml:space="preserve">3_δ35_u </t>
  </si>
  <si>
    <t xml:space="preserve">3_δ60_u </t>
  </si>
  <si>
    <t xml:space="preserve">3_ε4,25_u </t>
  </si>
  <si>
    <t xml:space="preserve">2_δ35_u </t>
  </si>
  <si>
    <t>compounds</t>
  </si>
  <si>
    <t>LD_(ng_mL)</t>
  </si>
  <si>
    <t>LQ_(ng_mL)</t>
  </si>
  <si>
    <t>HAP</t>
  </si>
  <si>
    <t>PBDE</t>
  </si>
  <si>
    <t>Phtalates</t>
  </si>
  <si>
    <t>AKP</t>
  </si>
  <si>
    <t>non_Phtalates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</si>
</sst>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.3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right"/>
    </xf>
    <xf numFmtId="2" fontId="4" fillId="2" borderId="9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right"/>
    </xf>
    <xf numFmtId="2" fontId="4" fillId="2" borderId="13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1" fillId="2" borderId="0" xfId="0" applyFont="1" applyFill="1"/>
    <xf numFmtId="2" fontId="5" fillId="3" borderId="11" xfId="0" applyNumberFormat="1" applyFont="1" applyFill="1" applyBorder="1" applyAlignment="1">
      <alignment horizontal="center"/>
    </xf>
    <xf numFmtId="2" fontId="5" fillId="3" borderId="12" xfId="0" applyNumberFormat="1" applyFont="1" applyFill="1" applyBorder="1" applyAlignment="1">
      <alignment horizontal="center"/>
    </xf>
    <xf numFmtId="2" fontId="5" fillId="3" borderId="13" xfId="0" applyNumberFormat="1" applyFont="1" applyFill="1" applyBorder="1" applyAlignment="1">
      <alignment horizontal="center"/>
    </xf>
    <xf numFmtId="164" fontId="5" fillId="3" borderId="14" xfId="0" applyNumberFormat="1" applyFont="1" applyFill="1" applyBorder="1" applyAlignment="1">
      <alignment horizontal="center"/>
    </xf>
    <xf numFmtId="2" fontId="5" fillId="3" borderId="15" xfId="0" applyNumberFormat="1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right"/>
    </xf>
    <xf numFmtId="2" fontId="5" fillId="3" borderId="17" xfId="0" applyNumberFormat="1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2" fontId="4" fillId="2" borderId="19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164" fontId="4" fillId="2" borderId="19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  <xf numFmtId="164" fontId="5" fillId="3" borderId="17" xfId="0" applyNumberFormat="1" applyFont="1" applyFill="1" applyBorder="1" applyAlignment="1">
      <alignment horizontal="center"/>
    </xf>
    <xf numFmtId="49" fontId="5" fillId="2" borderId="20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BC2B-B9CA-4732-8BC0-5C7000406B16}">
  <dimension ref="A1:V43"/>
  <sheetViews>
    <sheetView showGridLines="0" tabSelected="1" zoomScale="85" zoomScaleNormal="85" workbookViewId="0">
      <pane xSplit="3" ySplit="1" topLeftCell="D2" activePane="bottomRight" state="frozen"/>
      <selection pane="topRight" activeCell="F1" sqref="F1"/>
      <selection pane="bottomLeft" activeCell="A5" sqref="A5"/>
      <selection pane="bottomRight" activeCell="E48" sqref="E48"/>
    </sheetView>
  </sheetViews>
  <sheetFormatPr baseColWidth="10" defaultColWidth="10.83203125" defaultRowHeight="15" x14ac:dyDescent="0.2"/>
  <cols>
    <col min="1" max="1" width="22.5" style="2" customWidth="1"/>
    <col min="2" max="2" width="22.6640625" style="2" customWidth="1"/>
    <col min="3" max="3" width="22.5" style="2" customWidth="1"/>
    <col min="4" max="4" width="10.83203125" style="2" customWidth="1"/>
    <col min="5" max="8" width="10.83203125" style="1" customWidth="1"/>
    <col min="9" max="16384" width="10.83203125" style="1"/>
  </cols>
  <sheetData>
    <row r="1" spans="1:22" ht="22.5" customHeight="1" thickBot="1" x14ac:dyDescent="0.25">
      <c r="A1" s="3" t="s">
        <v>59</v>
      </c>
      <c r="B1" s="4" t="s">
        <v>60</v>
      </c>
      <c r="C1" s="5" t="s">
        <v>58</v>
      </c>
      <c r="D1" s="37" t="s">
        <v>39</v>
      </c>
      <c r="E1" s="37" t="s">
        <v>40</v>
      </c>
      <c r="F1" s="38" t="s">
        <v>41</v>
      </c>
      <c r="G1" s="38" t="s">
        <v>42</v>
      </c>
      <c r="H1" s="40" t="s">
        <v>43</v>
      </c>
      <c r="I1" s="38" t="s">
        <v>44</v>
      </c>
      <c r="J1" s="46" t="s">
        <v>45</v>
      </c>
      <c r="K1" s="38" t="s">
        <v>46</v>
      </c>
      <c r="L1" s="45" t="s">
        <v>47</v>
      </c>
      <c r="M1" s="45" t="s">
        <v>48</v>
      </c>
      <c r="N1" s="46" t="s">
        <v>49</v>
      </c>
      <c r="O1" s="46" t="s">
        <v>50</v>
      </c>
      <c r="P1" s="46" t="s">
        <v>51</v>
      </c>
      <c r="Q1" s="45" t="s">
        <v>52</v>
      </c>
      <c r="R1" s="38" t="s">
        <v>53</v>
      </c>
      <c r="S1" s="45" t="s">
        <v>54</v>
      </c>
      <c r="T1" s="46" t="s">
        <v>57</v>
      </c>
      <c r="U1" s="46" t="s">
        <v>55</v>
      </c>
      <c r="V1" s="39" t="s">
        <v>56</v>
      </c>
    </row>
    <row r="2" spans="1:22" ht="16" thickTop="1" x14ac:dyDescent="0.2">
      <c r="A2" s="6">
        <v>0.3</v>
      </c>
      <c r="B2" s="7">
        <v>1</v>
      </c>
      <c r="C2" s="8" t="s">
        <v>0</v>
      </c>
      <c r="D2" s="9" t="s">
        <v>1</v>
      </c>
      <c r="E2" s="9" t="s">
        <v>1</v>
      </c>
      <c r="F2" s="29" t="s">
        <v>2</v>
      </c>
      <c r="G2" s="29">
        <v>1.4558400000000002</v>
      </c>
      <c r="H2" s="9">
        <v>8.4075600000000001</v>
      </c>
      <c r="I2" s="33">
        <v>6.4929000000000006</v>
      </c>
      <c r="J2" s="10">
        <v>1.5328600000000001</v>
      </c>
      <c r="K2" s="33">
        <v>3.6147</v>
      </c>
      <c r="L2" s="33">
        <v>4.1028399999999996</v>
      </c>
      <c r="M2" s="33" t="s">
        <v>1</v>
      </c>
      <c r="N2" s="10">
        <v>5.79786</v>
      </c>
      <c r="O2" s="10">
        <v>5.7502800000000001</v>
      </c>
      <c r="P2" s="10">
        <v>4.5218400000000001</v>
      </c>
      <c r="Q2" s="33">
        <v>4.2890600000000001</v>
      </c>
      <c r="R2" s="33">
        <v>22.756260000000001</v>
      </c>
      <c r="S2" s="41">
        <v>35.329640000000005</v>
      </c>
      <c r="T2" s="10">
        <v>32.393720000000002</v>
      </c>
      <c r="U2" s="10">
        <v>14.581880000000002</v>
      </c>
      <c r="V2" s="10">
        <v>1.28088</v>
      </c>
    </row>
    <row r="3" spans="1:22" x14ac:dyDescent="0.2">
      <c r="A3" s="11">
        <v>3.0000000000000006E-2</v>
      </c>
      <c r="B3" s="12">
        <v>0.1</v>
      </c>
      <c r="C3" s="13" t="s">
        <v>3</v>
      </c>
      <c r="D3" s="14" t="s">
        <v>1</v>
      </c>
      <c r="E3" s="14" t="s">
        <v>2</v>
      </c>
      <c r="F3" s="30" t="s">
        <v>2</v>
      </c>
      <c r="G3" s="30" t="s">
        <v>2</v>
      </c>
      <c r="H3" s="14" t="s">
        <v>2</v>
      </c>
      <c r="I3" s="34" t="s">
        <v>2</v>
      </c>
      <c r="J3" s="15" t="s">
        <v>2</v>
      </c>
      <c r="K3" s="34" t="s">
        <v>2</v>
      </c>
      <c r="L3" s="34" t="s">
        <v>2</v>
      </c>
      <c r="M3" s="34" t="s">
        <v>2</v>
      </c>
      <c r="N3" s="15" t="s">
        <v>2</v>
      </c>
      <c r="O3" s="15">
        <v>0.10089999999999999</v>
      </c>
      <c r="P3" s="15" t="s">
        <v>2</v>
      </c>
      <c r="Q3" s="34" t="s">
        <v>2</v>
      </c>
      <c r="R3" s="34" t="s">
        <v>2</v>
      </c>
      <c r="S3" s="42">
        <v>0.15256000000000003</v>
      </c>
      <c r="T3" s="15">
        <v>0.2026</v>
      </c>
      <c r="U3" s="15">
        <v>0.29067999999999999</v>
      </c>
      <c r="V3" s="15">
        <v>0.20268000000000003</v>
      </c>
    </row>
    <row r="4" spans="1:22" x14ac:dyDescent="0.2">
      <c r="A4" s="11">
        <v>0.3</v>
      </c>
      <c r="B4" s="12">
        <v>1</v>
      </c>
      <c r="C4" s="13" t="s">
        <v>4</v>
      </c>
      <c r="D4" s="14" t="s">
        <v>2</v>
      </c>
      <c r="E4" s="14" t="s">
        <v>2</v>
      </c>
      <c r="F4" s="30" t="s">
        <v>2</v>
      </c>
      <c r="G4" s="30" t="s">
        <v>2</v>
      </c>
      <c r="H4" s="14" t="s">
        <v>1</v>
      </c>
      <c r="I4" s="34" t="s">
        <v>1</v>
      </c>
      <c r="J4" s="15" t="s">
        <v>1</v>
      </c>
      <c r="K4" s="34">
        <v>1.4899200000000001</v>
      </c>
      <c r="L4" s="34">
        <v>1.44008</v>
      </c>
      <c r="M4" s="34" t="s">
        <v>2</v>
      </c>
      <c r="N4" s="15" t="s">
        <v>1</v>
      </c>
      <c r="O4" s="15" t="s">
        <v>1</v>
      </c>
      <c r="P4" s="15" t="s">
        <v>2</v>
      </c>
      <c r="Q4" s="34" t="s">
        <v>1</v>
      </c>
      <c r="R4" s="34">
        <v>1.47654</v>
      </c>
      <c r="S4" s="42">
        <v>2.6158400000000004</v>
      </c>
      <c r="T4" s="15">
        <v>2.3927399999999999</v>
      </c>
      <c r="U4" s="15">
        <v>1.3991800000000001</v>
      </c>
      <c r="V4" s="15" t="s">
        <v>2</v>
      </c>
    </row>
    <row r="5" spans="1:22" x14ac:dyDescent="0.2">
      <c r="A5" s="11">
        <v>6.0000000000000012E-2</v>
      </c>
      <c r="B5" s="12">
        <v>0.2</v>
      </c>
      <c r="C5" s="13" t="s">
        <v>5</v>
      </c>
      <c r="D5" s="14" t="s">
        <v>2</v>
      </c>
      <c r="E5" s="14" t="s">
        <v>2</v>
      </c>
      <c r="F5" s="30" t="s">
        <v>2</v>
      </c>
      <c r="G5" s="30" t="s">
        <v>1</v>
      </c>
      <c r="H5" s="14" t="s">
        <v>2</v>
      </c>
      <c r="I5" s="34" t="s">
        <v>2</v>
      </c>
      <c r="J5" s="15" t="s">
        <v>2</v>
      </c>
      <c r="K5" s="34" t="s">
        <v>1</v>
      </c>
      <c r="L5" s="34" t="s">
        <v>1</v>
      </c>
      <c r="M5" s="34" t="s">
        <v>2</v>
      </c>
      <c r="N5" s="15" t="s">
        <v>2</v>
      </c>
      <c r="O5" s="15" t="s">
        <v>2</v>
      </c>
      <c r="P5" s="15" t="s">
        <v>2</v>
      </c>
      <c r="Q5" s="34" t="s">
        <v>2</v>
      </c>
      <c r="R5" s="34" t="s">
        <v>1</v>
      </c>
      <c r="S5" s="42">
        <v>1.3527</v>
      </c>
      <c r="T5" s="15">
        <v>1.19112</v>
      </c>
      <c r="U5" s="15">
        <v>0.51678000000000002</v>
      </c>
      <c r="V5" s="15" t="s">
        <v>2</v>
      </c>
    </row>
    <row r="6" spans="1:22" x14ac:dyDescent="0.2">
      <c r="A6" s="11">
        <v>6.0000000000000012E-2</v>
      </c>
      <c r="B6" s="12">
        <v>0.2</v>
      </c>
      <c r="C6" s="13" t="s">
        <v>6</v>
      </c>
      <c r="D6" s="14" t="s">
        <v>2</v>
      </c>
      <c r="E6" s="14" t="s">
        <v>2</v>
      </c>
      <c r="F6" s="30" t="s">
        <v>2</v>
      </c>
      <c r="G6" s="30" t="s">
        <v>2</v>
      </c>
      <c r="H6" s="14" t="s">
        <v>2</v>
      </c>
      <c r="I6" s="34" t="s">
        <v>2</v>
      </c>
      <c r="J6" s="15" t="s">
        <v>2</v>
      </c>
      <c r="K6" s="34" t="s">
        <v>1</v>
      </c>
      <c r="L6" s="34" t="s">
        <v>1</v>
      </c>
      <c r="M6" s="34" t="s">
        <v>2</v>
      </c>
      <c r="N6" s="15" t="s">
        <v>2</v>
      </c>
      <c r="O6" s="15" t="s">
        <v>2</v>
      </c>
      <c r="P6" s="15" t="s">
        <v>2</v>
      </c>
      <c r="Q6" s="34" t="s">
        <v>2</v>
      </c>
      <c r="R6" s="34" t="s">
        <v>2</v>
      </c>
      <c r="S6" s="42">
        <v>0.94979999999999998</v>
      </c>
      <c r="T6" s="15">
        <v>1.0161800000000001</v>
      </c>
      <c r="U6" s="15">
        <v>0.62212000000000001</v>
      </c>
      <c r="V6" s="15" t="s">
        <v>2</v>
      </c>
    </row>
    <row r="7" spans="1:22" x14ac:dyDescent="0.2">
      <c r="A7" s="11">
        <v>0.3</v>
      </c>
      <c r="B7" s="12">
        <v>1</v>
      </c>
      <c r="C7" s="13" t="s">
        <v>7</v>
      </c>
      <c r="D7" s="14" t="s">
        <v>2</v>
      </c>
      <c r="E7" s="14" t="s">
        <v>2</v>
      </c>
      <c r="F7" s="30" t="s">
        <v>1</v>
      </c>
      <c r="G7" s="30" t="s">
        <v>2</v>
      </c>
      <c r="H7" s="14" t="s">
        <v>1</v>
      </c>
      <c r="I7" s="34" t="s">
        <v>2</v>
      </c>
      <c r="J7" s="15" t="s">
        <v>1</v>
      </c>
      <c r="K7" s="34">
        <v>1.1089600000000002</v>
      </c>
      <c r="L7" s="34">
        <v>1.8394600000000001</v>
      </c>
      <c r="M7" s="34" t="s">
        <v>2</v>
      </c>
      <c r="N7" s="15" t="s">
        <v>1</v>
      </c>
      <c r="O7" s="15" t="s">
        <v>2</v>
      </c>
      <c r="P7" s="15" t="s">
        <v>2</v>
      </c>
      <c r="Q7" s="34" t="s">
        <v>2</v>
      </c>
      <c r="R7" s="34" t="s">
        <v>2</v>
      </c>
      <c r="S7" s="42">
        <v>7.5121000000000002</v>
      </c>
      <c r="T7" s="15">
        <v>8.1216600000000003</v>
      </c>
      <c r="U7" s="15">
        <v>5.4339399999999998</v>
      </c>
      <c r="V7" s="15" t="s">
        <v>1</v>
      </c>
    </row>
    <row r="8" spans="1:22" x14ac:dyDescent="0.2">
      <c r="A8" s="11">
        <v>3.0000000000000006E-2</v>
      </c>
      <c r="B8" s="12">
        <v>0.1</v>
      </c>
      <c r="C8" s="13" t="s">
        <v>8</v>
      </c>
      <c r="D8" s="14">
        <v>0.50810000000000011</v>
      </c>
      <c r="E8" s="14">
        <v>0.17566000000000001</v>
      </c>
      <c r="F8" s="30">
        <v>1.3519399999999999</v>
      </c>
      <c r="G8" s="30">
        <v>2.5411999999999999</v>
      </c>
      <c r="H8" s="14">
        <v>3.0683800000000003</v>
      </c>
      <c r="I8" s="34">
        <v>0.13624</v>
      </c>
      <c r="J8" s="15">
        <v>0.15490000000000001</v>
      </c>
      <c r="K8" s="34">
        <v>4.2045400000000006</v>
      </c>
      <c r="L8" s="34">
        <v>4.2428600000000003</v>
      </c>
      <c r="M8" s="34">
        <v>1.27346</v>
      </c>
      <c r="N8" s="15">
        <v>1.2976400000000001</v>
      </c>
      <c r="O8" s="15">
        <v>0.25900000000000001</v>
      </c>
      <c r="P8" s="15" t="s">
        <v>2</v>
      </c>
      <c r="Q8" s="34">
        <v>6.1797800000000009</v>
      </c>
      <c r="R8" s="34" t="s">
        <v>2</v>
      </c>
      <c r="S8" s="42">
        <v>4.6063999999999998</v>
      </c>
      <c r="T8" s="15">
        <v>4.92178</v>
      </c>
      <c r="U8" s="15">
        <v>1.4075600000000001</v>
      </c>
      <c r="V8" s="15" t="s">
        <v>1</v>
      </c>
    </row>
    <row r="9" spans="1:22" x14ac:dyDescent="0.2">
      <c r="A9" s="11">
        <v>0.3</v>
      </c>
      <c r="B9" s="12">
        <v>1</v>
      </c>
      <c r="C9" s="13" t="s">
        <v>9</v>
      </c>
      <c r="D9" s="14">
        <v>2.7088999999999999</v>
      </c>
      <c r="E9" s="14" t="s">
        <v>1</v>
      </c>
      <c r="F9" s="30">
        <v>7.3906800000000006</v>
      </c>
      <c r="G9" s="30">
        <v>6.6373000000000006</v>
      </c>
      <c r="H9" s="14">
        <v>8.8860399999999995</v>
      </c>
      <c r="I9" s="34">
        <v>2.1833200000000001</v>
      </c>
      <c r="J9" s="15">
        <v>2.6611000000000002</v>
      </c>
      <c r="K9" s="34">
        <v>9.8939000000000004</v>
      </c>
      <c r="L9" s="34">
        <v>22.855360000000001</v>
      </c>
      <c r="M9" s="34">
        <v>2.0626200000000003</v>
      </c>
      <c r="N9" s="15">
        <v>6.44306</v>
      </c>
      <c r="O9" s="15" t="s">
        <v>1</v>
      </c>
      <c r="P9" s="15">
        <v>1.0585800000000001</v>
      </c>
      <c r="Q9" s="34">
        <v>18.407400000000003</v>
      </c>
      <c r="R9" s="34">
        <v>1.1705000000000001</v>
      </c>
      <c r="S9" s="42">
        <v>32.920760000000001</v>
      </c>
      <c r="T9" s="15">
        <v>33.774660000000004</v>
      </c>
      <c r="U9" s="15">
        <v>12.3073</v>
      </c>
      <c r="V9" s="15">
        <v>2.2885800000000001</v>
      </c>
    </row>
    <row r="10" spans="1:22" x14ac:dyDescent="0.2">
      <c r="A10" s="11">
        <v>3.0000000000000006E-2</v>
      </c>
      <c r="B10" s="12">
        <v>0.1</v>
      </c>
      <c r="C10" s="13" t="s">
        <v>10</v>
      </c>
      <c r="D10" s="14">
        <v>0.45636000000000004</v>
      </c>
      <c r="E10" s="14" t="s">
        <v>2</v>
      </c>
      <c r="F10" s="30">
        <v>0.15338000000000002</v>
      </c>
      <c r="G10" s="30">
        <v>0.28450000000000003</v>
      </c>
      <c r="H10" s="14">
        <v>1.32914</v>
      </c>
      <c r="I10" s="34">
        <v>0.41534000000000004</v>
      </c>
      <c r="J10" s="15">
        <v>0.70186000000000004</v>
      </c>
      <c r="K10" s="34">
        <v>0.44522000000000006</v>
      </c>
      <c r="L10" s="34">
        <v>2.2401399999999998</v>
      </c>
      <c r="M10" s="34" t="s">
        <v>2</v>
      </c>
      <c r="N10" s="15">
        <v>0.16298000000000001</v>
      </c>
      <c r="O10" s="15" t="s">
        <v>2</v>
      </c>
      <c r="P10" s="15" t="s">
        <v>2</v>
      </c>
      <c r="Q10" s="34">
        <v>0.31568000000000002</v>
      </c>
      <c r="R10" s="34" t="s">
        <v>1</v>
      </c>
      <c r="S10" s="42">
        <v>2.5478400000000003</v>
      </c>
      <c r="T10" s="15">
        <v>2.3458200000000002</v>
      </c>
      <c r="U10" s="15">
        <v>1.1606799999999999</v>
      </c>
      <c r="V10" s="15">
        <v>0.11124000000000001</v>
      </c>
    </row>
    <row r="11" spans="1:22" x14ac:dyDescent="0.2">
      <c r="A11" s="11">
        <v>0.3</v>
      </c>
      <c r="B11" s="12">
        <v>1</v>
      </c>
      <c r="C11" s="13" t="s">
        <v>11</v>
      </c>
      <c r="D11" s="14" t="s">
        <v>2</v>
      </c>
      <c r="E11" s="14" t="s">
        <v>2</v>
      </c>
      <c r="F11" s="30" t="s">
        <v>1</v>
      </c>
      <c r="G11" s="30" t="s">
        <v>1</v>
      </c>
      <c r="H11" s="14" t="s">
        <v>1</v>
      </c>
      <c r="I11" s="34" t="s">
        <v>2</v>
      </c>
      <c r="J11" s="15" t="s">
        <v>1</v>
      </c>
      <c r="K11" s="34" t="s">
        <v>1</v>
      </c>
      <c r="L11" s="34">
        <v>1.5179800000000001</v>
      </c>
      <c r="M11" s="34" t="s">
        <v>2</v>
      </c>
      <c r="N11" s="15" t="s">
        <v>1</v>
      </c>
      <c r="O11" s="15" t="s">
        <v>2</v>
      </c>
      <c r="P11" s="15" t="s">
        <v>2</v>
      </c>
      <c r="Q11" s="34">
        <v>1.31488</v>
      </c>
      <c r="R11" s="34" t="s">
        <v>2</v>
      </c>
      <c r="S11" s="42">
        <v>5.7725400000000002</v>
      </c>
      <c r="T11" s="15">
        <v>6.4613399999999999</v>
      </c>
      <c r="U11" s="15">
        <v>7.3411000000000008</v>
      </c>
      <c r="V11" s="15" t="s">
        <v>1</v>
      </c>
    </row>
    <row r="12" spans="1:22" x14ac:dyDescent="0.2">
      <c r="A12" s="11">
        <v>6.0000000000000012E-2</v>
      </c>
      <c r="B12" s="12">
        <v>0.2</v>
      </c>
      <c r="C12" s="13" t="s">
        <v>12</v>
      </c>
      <c r="D12" s="14">
        <v>0.72976000000000008</v>
      </c>
      <c r="E12" s="14" t="s">
        <v>1</v>
      </c>
      <c r="F12" s="30">
        <v>0.56972</v>
      </c>
      <c r="G12" s="30">
        <v>1.0040200000000001</v>
      </c>
      <c r="H12" s="14">
        <v>2.2032800000000003</v>
      </c>
      <c r="I12" s="34">
        <v>0.45800000000000002</v>
      </c>
      <c r="J12" s="15">
        <v>1.50448</v>
      </c>
      <c r="K12" s="34">
        <v>0.91654000000000002</v>
      </c>
      <c r="L12" s="34">
        <v>2.4253400000000003</v>
      </c>
      <c r="M12" s="34" t="s">
        <v>1</v>
      </c>
      <c r="N12" s="15">
        <v>1.9543800000000002</v>
      </c>
      <c r="O12" s="15">
        <v>0.22797999999999999</v>
      </c>
      <c r="P12" s="15">
        <v>0.28204000000000001</v>
      </c>
      <c r="Q12" s="34">
        <v>2.5710200000000003</v>
      </c>
      <c r="R12" s="34">
        <v>0.24676000000000001</v>
      </c>
      <c r="S12" s="42">
        <v>8.1977200000000003</v>
      </c>
      <c r="T12" s="15">
        <v>9.1131399999999996</v>
      </c>
      <c r="U12" s="15">
        <v>8.2624600000000008</v>
      </c>
      <c r="V12" s="15">
        <v>0.7807400000000001</v>
      </c>
    </row>
    <row r="13" spans="1:22" x14ac:dyDescent="0.2">
      <c r="A13" s="11">
        <v>3.0000000000000006E-2</v>
      </c>
      <c r="B13" s="12">
        <v>0.1</v>
      </c>
      <c r="C13" s="13" t="s">
        <v>13</v>
      </c>
      <c r="D13" s="14">
        <v>0.23365999999999998</v>
      </c>
      <c r="E13" s="14" t="s">
        <v>1</v>
      </c>
      <c r="F13" s="30" t="s">
        <v>2</v>
      </c>
      <c r="G13" s="30">
        <v>0.60640000000000005</v>
      </c>
      <c r="H13" s="14">
        <v>7.9457200000000006</v>
      </c>
      <c r="I13" s="34" t="s">
        <v>2</v>
      </c>
      <c r="J13" s="15">
        <v>0.2828</v>
      </c>
      <c r="K13" s="34" t="s">
        <v>2</v>
      </c>
      <c r="L13" s="34">
        <v>1.39046</v>
      </c>
      <c r="M13" s="34" t="s">
        <v>1</v>
      </c>
      <c r="N13" s="15">
        <v>0.48716000000000004</v>
      </c>
      <c r="O13" s="15">
        <v>0.12516000000000002</v>
      </c>
      <c r="P13" s="15">
        <v>0.15648000000000001</v>
      </c>
      <c r="Q13" s="34">
        <v>3.7070400000000001</v>
      </c>
      <c r="R13" s="34">
        <v>0.14158000000000001</v>
      </c>
      <c r="S13" s="42">
        <v>1.4022000000000001</v>
      </c>
      <c r="T13" s="15">
        <v>1.5786</v>
      </c>
      <c r="U13" s="15">
        <v>0.53281999999999996</v>
      </c>
      <c r="V13" s="15">
        <v>0.39832000000000001</v>
      </c>
    </row>
    <row r="14" spans="1:22" x14ac:dyDescent="0.2">
      <c r="A14" s="11">
        <v>6.0000000000000012E-2</v>
      </c>
      <c r="B14" s="12">
        <v>0.2</v>
      </c>
      <c r="C14" s="13" t="s">
        <v>14</v>
      </c>
      <c r="D14" s="14">
        <v>0.30802000000000002</v>
      </c>
      <c r="E14" s="14">
        <v>0.73487999999999998</v>
      </c>
      <c r="F14" s="30" t="s">
        <v>1</v>
      </c>
      <c r="G14" s="30">
        <v>2.40266</v>
      </c>
      <c r="H14" s="14">
        <v>9.2148000000000003</v>
      </c>
      <c r="I14" s="34" t="s">
        <v>1</v>
      </c>
      <c r="J14" s="15">
        <v>1.7647200000000003</v>
      </c>
      <c r="K14" s="34">
        <v>0.57769999999999999</v>
      </c>
      <c r="L14" s="34">
        <v>1.59256</v>
      </c>
      <c r="M14" s="34">
        <v>0.91152</v>
      </c>
      <c r="N14" s="15">
        <v>3.6977600000000006</v>
      </c>
      <c r="O14" s="15">
        <v>0.46639999999999998</v>
      </c>
      <c r="P14" s="15">
        <v>0.66446000000000005</v>
      </c>
      <c r="Q14" s="34">
        <v>22.555840000000003</v>
      </c>
      <c r="R14" s="34">
        <v>0.58740000000000003</v>
      </c>
      <c r="S14" s="42">
        <v>4.87514</v>
      </c>
      <c r="T14" s="15">
        <v>5.6833400000000003</v>
      </c>
      <c r="U14" s="15">
        <v>4.7424600000000003</v>
      </c>
      <c r="V14" s="15">
        <v>1.2992800000000002</v>
      </c>
    </row>
    <row r="15" spans="1:22" x14ac:dyDescent="0.2">
      <c r="A15" s="11">
        <v>0.3</v>
      </c>
      <c r="B15" s="12">
        <v>1</v>
      </c>
      <c r="C15" s="13" t="s">
        <v>15</v>
      </c>
      <c r="D15" s="14" t="s">
        <v>1</v>
      </c>
      <c r="E15" s="14" t="s">
        <v>2</v>
      </c>
      <c r="F15" s="30" t="s">
        <v>2</v>
      </c>
      <c r="G15" s="30" t="s">
        <v>2</v>
      </c>
      <c r="H15" s="14">
        <v>1.5797400000000001</v>
      </c>
      <c r="I15" s="34" t="s">
        <v>2</v>
      </c>
      <c r="J15" s="15">
        <v>1.16272</v>
      </c>
      <c r="K15" s="34" t="s">
        <v>2</v>
      </c>
      <c r="L15" s="34">
        <v>1.3461000000000001</v>
      </c>
      <c r="M15" s="34" t="s">
        <v>2</v>
      </c>
      <c r="N15" s="15" t="s">
        <v>2</v>
      </c>
      <c r="O15" s="15">
        <v>1.1167800000000001</v>
      </c>
      <c r="P15" s="15" t="s">
        <v>1</v>
      </c>
      <c r="Q15" s="34">
        <v>2.4227400000000001</v>
      </c>
      <c r="R15" s="34" t="s">
        <v>2</v>
      </c>
      <c r="S15" s="42">
        <v>2.4470800000000001</v>
      </c>
      <c r="T15" s="15">
        <v>3.15232</v>
      </c>
      <c r="U15" s="15">
        <v>1.55158</v>
      </c>
      <c r="V15" s="15">
        <v>1.67198</v>
      </c>
    </row>
    <row r="16" spans="1:22" x14ac:dyDescent="0.2">
      <c r="A16" s="16">
        <v>0.3</v>
      </c>
      <c r="B16" s="17">
        <v>1</v>
      </c>
      <c r="C16" s="18" t="s">
        <v>16</v>
      </c>
      <c r="D16" s="14" t="s">
        <v>1</v>
      </c>
      <c r="E16" s="14" t="s">
        <v>2</v>
      </c>
      <c r="F16" s="30" t="s">
        <v>2</v>
      </c>
      <c r="G16" s="30" t="s">
        <v>2</v>
      </c>
      <c r="H16" s="14">
        <v>1.3841400000000001</v>
      </c>
      <c r="I16" s="34" t="s">
        <v>2</v>
      </c>
      <c r="J16" s="15">
        <v>1.1582000000000001</v>
      </c>
      <c r="K16" s="34" t="s">
        <v>2</v>
      </c>
      <c r="L16" s="34">
        <v>1.3542000000000001</v>
      </c>
      <c r="M16" s="34" t="s">
        <v>2</v>
      </c>
      <c r="N16" s="15" t="s">
        <v>2</v>
      </c>
      <c r="O16" s="15" t="s">
        <v>1</v>
      </c>
      <c r="P16" s="15" t="s">
        <v>1</v>
      </c>
      <c r="Q16" s="34">
        <v>2.34022</v>
      </c>
      <c r="R16" s="34" t="s">
        <v>2</v>
      </c>
      <c r="S16" s="42">
        <v>1.2188400000000001</v>
      </c>
      <c r="T16" s="15">
        <v>1.36632</v>
      </c>
      <c r="U16" s="15">
        <v>1.4998</v>
      </c>
      <c r="V16" s="15" t="s">
        <v>1</v>
      </c>
    </row>
    <row r="17" spans="1:22" x14ac:dyDescent="0.2">
      <c r="A17" s="11">
        <v>0.3</v>
      </c>
      <c r="B17" s="12">
        <v>1</v>
      </c>
      <c r="C17" s="13" t="s">
        <v>17</v>
      </c>
      <c r="D17" s="14" t="s">
        <v>2</v>
      </c>
      <c r="E17" s="14" t="s">
        <v>2</v>
      </c>
      <c r="F17" s="30" t="s">
        <v>2</v>
      </c>
      <c r="G17" s="30" t="s">
        <v>2</v>
      </c>
      <c r="H17" s="14" t="s">
        <v>2</v>
      </c>
      <c r="I17" s="34" t="s">
        <v>2</v>
      </c>
      <c r="J17" s="15" t="s">
        <v>2</v>
      </c>
      <c r="K17" s="34" t="s">
        <v>2</v>
      </c>
      <c r="L17" s="34" t="s">
        <v>2</v>
      </c>
      <c r="M17" s="34" t="s">
        <v>2</v>
      </c>
      <c r="N17" s="15" t="s">
        <v>2</v>
      </c>
      <c r="O17" s="15" t="s">
        <v>2</v>
      </c>
      <c r="P17" s="15" t="s">
        <v>2</v>
      </c>
      <c r="Q17" s="34" t="s">
        <v>1</v>
      </c>
      <c r="R17" s="34" t="s">
        <v>2</v>
      </c>
      <c r="S17" s="42" t="s">
        <v>1</v>
      </c>
      <c r="T17" s="15" t="s">
        <v>1</v>
      </c>
      <c r="U17" s="15" t="s">
        <v>2</v>
      </c>
      <c r="V17" s="15" t="s">
        <v>1</v>
      </c>
    </row>
    <row r="18" spans="1:22" x14ac:dyDescent="0.2">
      <c r="A18" s="11">
        <v>0.3</v>
      </c>
      <c r="B18" s="12">
        <v>1</v>
      </c>
      <c r="C18" s="13" t="s">
        <v>18</v>
      </c>
      <c r="D18" s="14" t="s">
        <v>2</v>
      </c>
      <c r="E18" s="14" t="s">
        <v>2</v>
      </c>
      <c r="F18" s="30" t="s">
        <v>2</v>
      </c>
      <c r="G18" s="30" t="s">
        <v>2</v>
      </c>
      <c r="H18" s="14" t="s">
        <v>2</v>
      </c>
      <c r="I18" s="34" t="s">
        <v>2</v>
      </c>
      <c r="J18" s="15" t="s">
        <v>2</v>
      </c>
      <c r="K18" s="34" t="s">
        <v>2</v>
      </c>
      <c r="L18" s="34" t="s">
        <v>2</v>
      </c>
      <c r="M18" s="34" t="s">
        <v>2</v>
      </c>
      <c r="N18" s="15" t="s">
        <v>2</v>
      </c>
      <c r="O18" s="15" t="s">
        <v>1</v>
      </c>
      <c r="P18" s="15" t="s">
        <v>1</v>
      </c>
      <c r="Q18" s="34" t="s">
        <v>1</v>
      </c>
      <c r="R18" s="34" t="s">
        <v>2</v>
      </c>
      <c r="S18" s="42" t="s">
        <v>2</v>
      </c>
      <c r="T18" s="15" t="s">
        <v>2</v>
      </c>
      <c r="U18" s="15" t="s">
        <v>2</v>
      </c>
      <c r="V18" s="15" t="s">
        <v>2</v>
      </c>
    </row>
    <row r="19" spans="1:22" x14ac:dyDescent="0.2">
      <c r="A19" s="11">
        <v>0.3</v>
      </c>
      <c r="B19" s="12">
        <v>1</v>
      </c>
      <c r="C19" s="13" t="s">
        <v>19</v>
      </c>
      <c r="D19" s="14" t="s">
        <v>2</v>
      </c>
      <c r="E19" s="14" t="s">
        <v>2</v>
      </c>
      <c r="F19" s="30" t="s">
        <v>2</v>
      </c>
      <c r="G19" s="30" t="s">
        <v>2</v>
      </c>
      <c r="H19" s="14" t="s">
        <v>2</v>
      </c>
      <c r="I19" s="34" t="s">
        <v>2</v>
      </c>
      <c r="J19" s="15" t="s">
        <v>2</v>
      </c>
      <c r="K19" s="34" t="s">
        <v>1</v>
      </c>
      <c r="L19" s="34" t="s">
        <v>2</v>
      </c>
      <c r="M19" s="34" t="s">
        <v>2</v>
      </c>
      <c r="N19" s="15" t="s">
        <v>2</v>
      </c>
      <c r="O19" s="15" t="s">
        <v>1</v>
      </c>
      <c r="P19" s="15" t="s">
        <v>1</v>
      </c>
      <c r="Q19" s="34" t="s">
        <v>1</v>
      </c>
      <c r="R19" s="34" t="s">
        <v>2</v>
      </c>
      <c r="S19" s="42" t="s">
        <v>1</v>
      </c>
      <c r="T19" s="15">
        <v>1.6929800000000002</v>
      </c>
      <c r="U19" s="15">
        <v>1.34152</v>
      </c>
      <c r="V19" s="15">
        <v>1.0582</v>
      </c>
    </row>
    <row r="20" spans="1:22" x14ac:dyDescent="0.2">
      <c r="A20" s="11">
        <v>0.3</v>
      </c>
      <c r="B20" s="12">
        <v>1</v>
      </c>
      <c r="C20" s="13" t="s">
        <v>20</v>
      </c>
      <c r="D20" s="14" t="s">
        <v>2</v>
      </c>
      <c r="E20" s="14" t="s">
        <v>2</v>
      </c>
      <c r="F20" s="30" t="s">
        <v>2</v>
      </c>
      <c r="G20" s="30" t="s">
        <v>2</v>
      </c>
      <c r="H20" s="14" t="s">
        <v>2</v>
      </c>
      <c r="I20" s="34" t="s">
        <v>2</v>
      </c>
      <c r="J20" s="15" t="s">
        <v>2</v>
      </c>
      <c r="K20" s="34" t="s">
        <v>2</v>
      </c>
      <c r="L20" s="34" t="s">
        <v>2</v>
      </c>
      <c r="M20" s="34" t="s">
        <v>2</v>
      </c>
      <c r="N20" s="15" t="s">
        <v>2</v>
      </c>
      <c r="O20" s="15" t="s">
        <v>2</v>
      </c>
      <c r="P20" s="15" t="s">
        <v>2</v>
      </c>
      <c r="Q20" s="34" t="s">
        <v>2</v>
      </c>
      <c r="R20" s="34" t="s">
        <v>2</v>
      </c>
      <c r="S20" s="42" t="s">
        <v>1</v>
      </c>
      <c r="T20" s="15">
        <v>1.05528</v>
      </c>
      <c r="U20" s="15" t="s">
        <v>1</v>
      </c>
      <c r="V20" s="15" t="s">
        <v>2</v>
      </c>
    </row>
    <row r="21" spans="1:22" x14ac:dyDescent="0.2">
      <c r="A21" s="11">
        <v>0.3</v>
      </c>
      <c r="B21" s="12">
        <v>1</v>
      </c>
      <c r="C21" s="13" t="s">
        <v>21</v>
      </c>
      <c r="D21" s="14" t="s">
        <v>1</v>
      </c>
      <c r="E21" s="14" t="s">
        <v>2</v>
      </c>
      <c r="F21" s="30" t="s">
        <v>2</v>
      </c>
      <c r="G21" s="30" t="s">
        <v>2</v>
      </c>
      <c r="H21" s="14" t="s">
        <v>2</v>
      </c>
      <c r="I21" s="34" t="s">
        <v>2</v>
      </c>
      <c r="J21" s="15" t="s">
        <v>1</v>
      </c>
      <c r="K21" s="34" t="s">
        <v>1</v>
      </c>
      <c r="L21" s="34" t="s">
        <v>1</v>
      </c>
      <c r="M21" s="34" t="s">
        <v>2</v>
      </c>
      <c r="N21" s="15" t="s">
        <v>2</v>
      </c>
      <c r="O21" s="15" t="s">
        <v>1</v>
      </c>
      <c r="P21" s="15">
        <v>1.3377000000000001</v>
      </c>
      <c r="Q21" s="34">
        <v>1.2413400000000001</v>
      </c>
      <c r="R21" s="34" t="s">
        <v>1</v>
      </c>
      <c r="S21" s="42">
        <v>2.6158999999999999</v>
      </c>
      <c r="T21" s="15">
        <v>5.9118400000000007</v>
      </c>
      <c r="U21" s="15">
        <v>5.0227400000000006</v>
      </c>
      <c r="V21" s="15">
        <v>3.0081000000000002</v>
      </c>
    </row>
    <row r="22" spans="1:22" s="19" customFormat="1" x14ac:dyDescent="0.2">
      <c r="A22" s="20"/>
      <c r="B22" s="21"/>
      <c r="C22" s="47" t="s">
        <v>61</v>
      </c>
      <c r="D22" s="22">
        <f t="shared" ref="D22:V22" si="0">SUM(D2:D21)</f>
        <v>4.9447999999999999</v>
      </c>
      <c r="E22" s="22">
        <f t="shared" si="0"/>
        <v>0.91054000000000002</v>
      </c>
      <c r="F22" s="31">
        <f t="shared" si="0"/>
        <v>9.465720000000001</v>
      </c>
      <c r="G22" s="31">
        <f t="shared" si="0"/>
        <v>14.931920000000002</v>
      </c>
      <c r="H22" s="22">
        <f t="shared" si="0"/>
        <v>44.018800000000006</v>
      </c>
      <c r="I22" s="35">
        <f t="shared" si="0"/>
        <v>9.6858000000000022</v>
      </c>
      <c r="J22" s="23">
        <f t="shared" si="0"/>
        <v>10.923640000000001</v>
      </c>
      <c r="K22" s="35">
        <f t="shared" si="0"/>
        <v>22.251480000000004</v>
      </c>
      <c r="L22" s="35">
        <f t="shared" si="0"/>
        <v>46.347379999999994</v>
      </c>
      <c r="M22" s="35">
        <f t="shared" si="0"/>
        <v>4.2476000000000003</v>
      </c>
      <c r="N22" s="23">
        <f t="shared" si="0"/>
        <v>19.84084</v>
      </c>
      <c r="O22" s="23">
        <f t="shared" si="0"/>
        <v>8.0465</v>
      </c>
      <c r="P22" s="23">
        <f t="shared" si="0"/>
        <v>8.0211000000000006</v>
      </c>
      <c r="Q22" s="35">
        <f t="shared" si="0"/>
        <v>65.344999999999999</v>
      </c>
      <c r="R22" s="35">
        <f t="shared" si="0"/>
        <v>26.37904</v>
      </c>
      <c r="S22" s="43">
        <f t="shared" si="0"/>
        <v>114.51706000000001</v>
      </c>
      <c r="T22" s="23">
        <f t="shared" si="0"/>
        <v>122.37544</v>
      </c>
      <c r="U22" s="23">
        <f t="shared" si="0"/>
        <v>68.014600000000016</v>
      </c>
      <c r="V22" s="23">
        <f t="shared" si="0"/>
        <v>12.100000000000001</v>
      </c>
    </row>
    <row r="23" spans="1:22" x14ac:dyDescent="0.2">
      <c r="A23" s="11">
        <v>6.0000000000000012E-2</v>
      </c>
      <c r="B23" s="12">
        <v>0.2</v>
      </c>
      <c r="C23" s="13" t="s">
        <v>22</v>
      </c>
      <c r="D23" s="14" t="s">
        <v>2</v>
      </c>
      <c r="E23" s="14" t="s">
        <v>2</v>
      </c>
      <c r="F23" s="30" t="s">
        <v>2</v>
      </c>
      <c r="G23" s="30" t="s">
        <v>2</v>
      </c>
      <c r="H23" s="14" t="s">
        <v>2</v>
      </c>
      <c r="I23" s="34" t="s">
        <v>2</v>
      </c>
      <c r="J23" s="15" t="s">
        <v>2</v>
      </c>
      <c r="K23" s="34" t="s">
        <v>2</v>
      </c>
      <c r="L23" s="34" t="s">
        <v>2</v>
      </c>
      <c r="M23" s="34" t="s">
        <v>2</v>
      </c>
      <c r="N23" s="15" t="s">
        <v>2</v>
      </c>
      <c r="O23" s="15" t="s">
        <v>2</v>
      </c>
      <c r="P23" s="15" t="s">
        <v>2</v>
      </c>
      <c r="Q23" s="34" t="s">
        <v>2</v>
      </c>
      <c r="R23" s="34" t="s">
        <v>2</v>
      </c>
      <c r="S23" s="42" t="s">
        <v>2</v>
      </c>
      <c r="T23" s="15" t="s">
        <v>2</v>
      </c>
      <c r="U23" s="15" t="s">
        <v>2</v>
      </c>
      <c r="V23" s="15" t="s">
        <v>2</v>
      </c>
    </row>
    <row r="24" spans="1:22" x14ac:dyDescent="0.2">
      <c r="A24" s="11">
        <v>6.0000000000000012E-2</v>
      </c>
      <c r="B24" s="12">
        <v>0.2</v>
      </c>
      <c r="C24" s="13" t="s">
        <v>23</v>
      </c>
      <c r="D24" s="14" t="s">
        <v>1</v>
      </c>
      <c r="E24" s="14" t="s">
        <v>1</v>
      </c>
      <c r="F24" s="30" t="s">
        <v>2</v>
      </c>
      <c r="G24" s="30" t="s">
        <v>2</v>
      </c>
      <c r="H24" s="14" t="s">
        <v>2</v>
      </c>
      <c r="I24" s="34" t="s">
        <v>2</v>
      </c>
      <c r="J24" s="15" t="s">
        <v>2</v>
      </c>
      <c r="K24" s="34" t="s">
        <v>2</v>
      </c>
      <c r="L24" s="34" t="s">
        <v>1</v>
      </c>
      <c r="M24" s="34" t="s">
        <v>2</v>
      </c>
      <c r="N24" s="15" t="s">
        <v>2</v>
      </c>
      <c r="O24" s="15" t="s">
        <v>2</v>
      </c>
      <c r="P24" s="15" t="s">
        <v>2</v>
      </c>
      <c r="Q24" s="34" t="s">
        <v>2</v>
      </c>
      <c r="R24" s="34" t="s">
        <v>2</v>
      </c>
      <c r="S24" s="42" t="s">
        <v>2</v>
      </c>
      <c r="T24" s="15" t="s">
        <v>1</v>
      </c>
      <c r="U24" s="15" t="s">
        <v>2</v>
      </c>
      <c r="V24" s="15" t="s">
        <v>1</v>
      </c>
    </row>
    <row r="25" spans="1:22" x14ac:dyDescent="0.2">
      <c r="A25" s="11">
        <v>6.0000000000000012E-2</v>
      </c>
      <c r="B25" s="12">
        <v>0.2</v>
      </c>
      <c r="C25" s="13" t="s">
        <v>24</v>
      </c>
      <c r="D25" s="14" t="s">
        <v>2</v>
      </c>
      <c r="E25" s="14" t="s">
        <v>2</v>
      </c>
      <c r="F25" s="30" t="s">
        <v>2</v>
      </c>
      <c r="G25" s="30" t="s">
        <v>2</v>
      </c>
      <c r="H25" s="14" t="s">
        <v>2</v>
      </c>
      <c r="I25" s="34" t="s">
        <v>2</v>
      </c>
      <c r="J25" s="15" t="s">
        <v>2</v>
      </c>
      <c r="K25" s="34" t="s">
        <v>2</v>
      </c>
      <c r="L25" s="34" t="s">
        <v>2</v>
      </c>
      <c r="M25" s="34" t="s">
        <v>2</v>
      </c>
      <c r="N25" s="15" t="s">
        <v>2</v>
      </c>
      <c r="O25" s="15" t="s">
        <v>2</v>
      </c>
      <c r="P25" s="15" t="s">
        <v>2</v>
      </c>
      <c r="Q25" s="34" t="s">
        <v>2</v>
      </c>
      <c r="R25" s="34" t="s">
        <v>2</v>
      </c>
      <c r="S25" s="42" t="s">
        <v>2</v>
      </c>
      <c r="T25" s="15" t="s">
        <v>2</v>
      </c>
      <c r="U25" s="15" t="s">
        <v>2</v>
      </c>
      <c r="V25" s="15" t="s">
        <v>2</v>
      </c>
    </row>
    <row r="26" spans="1:22" x14ac:dyDescent="0.2">
      <c r="A26" s="11">
        <v>6.0000000000000012E-2</v>
      </c>
      <c r="B26" s="12">
        <v>0.2</v>
      </c>
      <c r="C26" s="13" t="s">
        <v>25</v>
      </c>
      <c r="D26" s="14" t="s">
        <v>2</v>
      </c>
      <c r="E26" s="14" t="s">
        <v>2</v>
      </c>
      <c r="F26" s="30" t="s">
        <v>2</v>
      </c>
      <c r="G26" s="30" t="s">
        <v>2</v>
      </c>
      <c r="H26" s="14" t="s">
        <v>2</v>
      </c>
      <c r="I26" s="34" t="s">
        <v>2</v>
      </c>
      <c r="J26" s="15" t="s">
        <v>2</v>
      </c>
      <c r="K26" s="34" t="s">
        <v>2</v>
      </c>
      <c r="L26" s="34" t="s">
        <v>2</v>
      </c>
      <c r="M26" s="34" t="s">
        <v>2</v>
      </c>
      <c r="N26" s="15" t="s">
        <v>2</v>
      </c>
      <c r="O26" s="15" t="s">
        <v>2</v>
      </c>
      <c r="P26" s="15" t="s">
        <v>2</v>
      </c>
      <c r="Q26" s="34" t="s">
        <v>2</v>
      </c>
      <c r="R26" s="34" t="s">
        <v>2</v>
      </c>
      <c r="S26" s="42" t="s">
        <v>2</v>
      </c>
      <c r="T26" s="15" t="s">
        <v>2</v>
      </c>
      <c r="U26" s="15" t="s">
        <v>2</v>
      </c>
      <c r="V26" s="15" t="s">
        <v>2</v>
      </c>
    </row>
    <row r="27" spans="1:22" x14ac:dyDescent="0.2">
      <c r="A27" s="11">
        <v>6.0000000000000012E-2</v>
      </c>
      <c r="B27" s="12">
        <v>0.2</v>
      </c>
      <c r="C27" s="13" t="s">
        <v>26</v>
      </c>
      <c r="D27" s="14" t="s">
        <v>2</v>
      </c>
      <c r="E27" s="14" t="s">
        <v>2</v>
      </c>
      <c r="F27" s="30" t="s">
        <v>2</v>
      </c>
      <c r="G27" s="30" t="s">
        <v>2</v>
      </c>
      <c r="H27" s="14" t="s">
        <v>2</v>
      </c>
      <c r="I27" s="34" t="s">
        <v>2</v>
      </c>
      <c r="J27" s="15" t="s">
        <v>2</v>
      </c>
      <c r="K27" s="34" t="s">
        <v>2</v>
      </c>
      <c r="L27" s="34" t="s">
        <v>2</v>
      </c>
      <c r="M27" s="34" t="s">
        <v>2</v>
      </c>
      <c r="N27" s="15" t="s">
        <v>2</v>
      </c>
      <c r="O27" s="15" t="s">
        <v>2</v>
      </c>
      <c r="P27" s="15" t="s">
        <v>2</v>
      </c>
      <c r="Q27" s="34" t="s">
        <v>2</v>
      </c>
      <c r="R27" s="34" t="s">
        <v>2</v>
      </c>
      <c r="S27" s="42" t="s">
        <v>2</v>
      </c>
      <c r="T27" s="15" t="s">
        <v>2</v>
      </c>
      <c r="U27" s="15" t="s">
        <v>2</v>
      </c>
      <c r="V27" s="15" t="s">
        <v>2</v>
      </c>
    </row>
    <row r="28" spans="1:22" x14ac:dyDescent="0.2">
      <c r="A28" s="11">
        <v>6.0000000000000012E-2</v>
      </c>
      <c r="B28" s="12">
        <v>0.2</v>
      </c>
      <c r="C28" s="13" t="s">
        <v>27</v>
      </c>
      <c r="D28" s="14" t="s">
        <v>2</v>
      </c>
      <c r="E28" s="14" t="s">
        <v>2</v>
      </c>
      <c r="F28" s="30" t="s">
        <v>2</v>
      </c>
      <c r="G28" s="30" t="s">
        <v>2</v>
      </c>
      <c r="H28" s="14" t="s">
        <v>2</v>
      </c>
      <c r="I28" s="34" t="s">
        <v>2</v>
      </c>
      <c r="J28" s="15" t="s">
        <v>2</v>
      </c>
      <c r="K28" s="34" t="s">
        <v>2</v>
      </c>
      <c r="L28" s="34" t="s">
        <v>2</v>
      </c>
      <c r="M28" s="34" t="s">
        <v>2</v>
      </c>
      <c r="N28" s="15" t="s">
        <v>2</v>
      </c>
      <c r="O28" s="15" t="s">
        <v>2</v>
      </c>
      <c r="P28" s="15" t="s">
        <v>2</v>
      </c>
      <c r="Q28" s="34" t="s">
        <v>2</v>
      </c>
      <c r="R28" s="34" t="s">
        <v>2</v>
      </c>
      <c r="S28" s="42" t="s">
        <v>2</v>
      </c>
      <c r="T28" s="15" t="s">
        <v>2</v>
      </c>
      <c r="U28" s="15" t="s">
        <v>2</v>
      </c>
      <c r="V28" s="15" t="s">
        <v>2</v>
      </c>
    </row>
    <row r="29" spans="1:22" x14ac:dyDescent="0.2">
      <c r="A29" s="11">
        <v>6.0000000000000012E-2</v>
      </c>
      <c r="B29" s="12">
        <v>0.2</v>
      </c>
      <c r="C29" s="13" t="s">
        <v>28</v>
      </c>
      <c r="D29" s="14" t="s">
        <v>2</v>
      </c>
      <c r="E29" s="14" t="s">
        <v>2</v>
      </c>
      <c r="F29" s="30" t="s">
        <v>2</v>
      </c>
      <c r="G29" s="30" t="s">
        <v>2</v>
      </c>
      <c r="H29" s="14" t="s">
        <v>2</v>
      </c>
      <c r="I29" s="34" t="s">
        <v>2</v>
      </c>
      <c r="J29" s="15" t="s">
        <v>2</v>
      </c>
      <c r="K29" s="34" t="s">
        <v>2</v>
      </c>
      <c r="L29" s="34" t="s">
        <v>2</v>
      </c>
      <c r="M29" s="34" t="s">
        <v>2</v>
      </c>
      <c r="N29" s="15" t="s">
        <v>2</v>
      </c>
      <c r="O29" s="15" t="s">
        <v>2</v>
      </c>
      <c r="P29" s="15" t="s">
        <v>2</v>
      </c>
      <c r="Q29" s="34" t="s">
        <v>2</v>
      </c>
      <c r="R29" s="34" t="s">
        <v>2</v>
      </c>
      <c r="S29" s="42" t="s">
        <v>2</v>
      </c>
      <c r="T29" s="15" t="s">
        <v>2</v>
      </c>
      <c r="U29" s="15" t="s">
        <v>2</v>
      </c>
      <c r="V29" s="15" t="s">
        <v>2</v>
      </c>
    </row>
    <row r="30" spans="1:22" s="19" customFormat="1" x14ac:dyDescent="0.2">
      <c r="A30" s="20"/>
      <c r="B30" s="21"/>
      <c r="C30" s="47" t="s">
        <v>62</v>
      </c>
      <c r="D30" s="22">
        <f t="shared" ref="D30:V30" si="1">SUM(D23:D29)</f>
        <v>0</v>
      </c>
      <c r="E30" s="22">
        <f t="shared" si="1"/>
        <v>0</v>
      </c>
      <c r="F30" s="31">
        <f t="shared" si="1"/>
        <v>0</v>
      </c>
      <c r="G30" s="31">
        <f t="shared" si="1"/>
        <v>0</v>
      </c>
      <c r="H30" s="22">
        <f t="shared" si="1"/>
        <v>0</v>
      </c>
      <c r="I30" s="35">
        <f t="shared" si="1"/>
        <v>0</v>
      </c>
      <c r="J30" s="23">
        <f t="shared" si="1"/>
        <v>0</v>
      </c>
      <c r="K30" s="35">
        <f t="shared" si="1"/>
        <v>0</v>
      </c>
      <c r="L30" s="35">
        <f t="shared" si="1"/>
        <v>0</v>
      </c>
      <c r="M30" s="35">
        <f t="shared" si="1"/>
        <v>0</v>
      </c>
      <c r="N30" s="23">
        <f t="shared" si="1"/>
        <v>0</v>
      </c>
      <c r="O30" s="23">
        <f t="shared" si="1"/>
        <v>0</v>
      </c>
      <c r="P30" s="23">
        <f t="shared" si="1"/>
        <v>0</v>
      </c>
      <c r="Q30" s="35">
        <f t="shared" si="1"/>
        <v>0</v>
      </c>
      <c r="R30" s="35">
        <f t="shared" si="1"/>
        <v>0</v>
      </c>
      <c r="S30" s="43">
        <f t="shared" si="1"/>
        <v>0</v>
      </c>
      <c r="T30" s="23">
        <f t="shared" si="1"/>
        <v>0</v>
      </c>
      <c r="U30" s="23">
        <f t="shared" si="1"/>
        <v>0</v>
      </c>
      <c r="V30" s="23">
        <f t="shared" si="1"/>
        <v>0</v>
      </c>
    </row>
    <row r="31" spans="1:22" x14ac:dyDescent="0.2">
      <c r="A31" s="11">
        <v>3</v>
      </c>
      <c r="B31" s="12">
        <v>10</v>
      </c>
      <c r="C31" s="13" t="s">
        <v>29</v>
      </c>
      <c r="D31" s="14" t="s">
        <v>2</v>
      </c>
      <c r="E31" s="14" t="s">
        <v>2</v>
      </c>
      <c r="F31" s="30" t="s">
        <v>2</v>
      </c>
      <c r="G31" s="30" t="s">
        <v>2</v>
      </c>
      <c r="H31" s="14" t="s">
        <v>2</v>
      </c>
      <c r="I31" s="34" t="s">
        <v>2</v>
      </c>
      <c r="J31" s="15" t="s">
        <v>1</v>
      </c>
      <c r="K31" s="34" t="s">
        <v>1</v>
      </c>
      <c r="L31" s="34" t="s">
        <v>1</v>
      </c>
      <c r="M31" s="34" t="s">
        <v>2</v>
      </c>
      <c r="N31" s="15" t="s">
        <v>1</v>
      </c>
      <c r="O31" s="15" t="s">
        <v>2</v>
      </c>
      <c r="P31" s="15" t="s">
        <v>1</v>
      </c>
      <c r="Q31" s="34" t="s">
        <v>1</v>
      </c>
      <c r="R31" s="34" t="s">
        <v>1</v>
      </c>
      <c r="S31" s="42" t="s">
        <v>1</v>
      </c>
      <c r="T31" s="15" t="s">
        <v>1</v>
      </c>
      <c r="U31" s="15" t="s">
        <v>1</v>
      </c>
      <c r="V31" s="15">
        <v>11.28008</v>
      </c>
    </row>
    <row r="32" spans="1:22" x14ac:dyDescent="0.2">
      <c r="A32" s="11">
        <v>3</v>
      </c>
      <c r="B32" s="12">
        <v>10</v>
      </c>
      <c r="C32" s="13" t="s">
        <v>30</v>
      </c>
      <c r="D32" s="14" t="s">
        <v>1</v>
      </c>
      <c r="E32" s="14">
        <v>23.575600000000001</v>
      </c>
      <c r="F32" s="30" t="s">
        <v>1</v>
      </c>
      <c r="G32" s="30">
        <v>19.534220000000001</v>
      </c>
      <c r="H32" s="14" t="s">
        <v>1</v>
      </c>
      <c r="I32" s="34">
        <v>33.596600000000002</v>
      </c>
      <c r="J32" s="15">
        <v>35.828699999999998</v>
      </c>
      <c r="K32" s="34">
        <v>25.421379999999999</v>
      </c>
      <c r="L32" s="34">
        <v>36.824919999999999</v>
      </c>
      <c r="M32" s="34" t="s">
        <v>1</v>
      </c>
      <c r="N32" s="15">
        <v>20.6126</v>
      </c>
      <c r="O32" s="15">
        <v>19.039080000000002</v>
      </c>
      <c r="P32" s="15">
        <v>19.564060000000001</v>
      </c>
      <c r="Q32" s="34">
        <v>48.537080000000003</v>
      </c>
      <c r="R32" s="34">
        <v>26.733260000000001</v>
      </c>
      <c r="S32" s="42">
        <v>39.465940000000003</v>
      </c>
      <c r="T32" s="15">
        <v>85.867900000000006</v>
      </c>
      <c r="U32" s="15">
        <v>103.80988000000001</v>
      </c>
      <c r="V32" s="15">
        <v>29.08146</v>
      </c>
    </row>
    <row r="33" spans="1:22" x14ac:dyDescent="0.2">
      <c r="A33" s="11">
        <v>3</v>
      </c>
      <c r="B33" s="12">
        <v>10</v>
      </c>
      <c r="C33" s="13" t="s">
        <v>31</v>
      </c>
      <c r="D33" s="14">
        <v>57.918980000000005</v>
      </c>
      <c r="E33" s="14">
        <v>78.319960000000009</v>
      </c>
      <c r="F33" s="30">
        <v>22.15652</v>
      </c>
      <c r="G33" s="30">
        <v>27.255420000000001</v>
      </c>
      <c r="H33" s="14">
        <v>136.05969999999999</v>
      </c>
      <c r="I33" s="34">
        <v>114.63902000000002</v>
      </c>
      <c r="J33" s="15">
        <v>139.0797</v>
      </c>
      <c r="K33" s="34">
        <v>207.62454</v>
      </c>
      <c r="L33" s="34">
        <v>223.94953999999998</v>
      </c>
      <c r="M33" s="34">
        <v>38.46416</v>
      </c>
      <c r="N33" s="15">
        <v>55.619020000000006</v>
      </c>
      <c r="O33" s="15">
        <v>68.409860000000009</v>
      </c>
      <c r="P33" s="15">
        <v>24.994720000000001</v>
      </c>
      <c r="Q33" s="34">
        <v>144.56994</v>
      </c>
      <c r="R33" s="34">
        <v>13.357880000000002</v>
      </c>
      <c r="S33" s="42">
        <v>95.635620000000003</v>
      </c>
      <c r="T33" s="15">
        <v>124.30412</v>
      </c>
      <c r="U33" s="15">
        <v>37.338160000000002</v>
      </c>
      <c r="V33" s="15">
        <v>32.452719999999999</v>
      </c>
    </row>
    <row r="34" spans="1:22" x14ac:dyDescent="0.2">
      <c r="A34" s="11">
        <v>3</v>
      </c>
      <c r="B34" s="12">
        <v>10</v>
      </c>
      <c r="C34" s="13" t="s">
        <v>32</v>
      </c>
      <c r="D34" s="14" t="s">
        <v>1</v>
      </c>
      <c r="E34" s="14" t="s">
        <v>2</v>
      </c>
      <c r="F34" s="30" t="s">
        <v>2</v>
      </c>
      <c r="G34" s="30" t="s">
        <v>2</v>
      </c>
      <c r="H34" s="14" t="s">
        <v>2</v>
      </c>
      <c r="I34" s="34" t="s">
        <v>2</v>
      </c>
      <c r="J34" s="15" t="s">
        <v>2</v>
      </c>
      <c r="K34" s="34" t="s">
        <v>1</v>
      </c>
      <c r="L34" s="34" t="s">
        <v>1</v>
      </c>
      <c r="M34" s="34" t="s">
        <v>2</v>
      </c>
      <c r="N34" s="15" t="s">
        <v>2</v>
      </c>
      <c r="O34" s="15" t="s">
        <v>2</v>
      </c>
      <c r="P34" s="15" t="s">
        <v>2</v>
      </c>
      <c r="Q34" s="34" t="s">
        <v>2</v>
      </c>
      <c r="R34" s="34" t="s">
        <v>2</v>
      </c>
      <c r="S34" s="42">
        <v>15.17018</v>
      </c>
      <c r="T34" s="15">
        <v>13.877740000000001</v>
      </c>
      <c r="U34" s="15" t="s">
        <v>2</v>
      </c>
      <c r="V34" s="15" t="s">
        <v>2</v>
      </c>
    </row>
    <row r="35" spans="1:22" x14ac:dyDescent="0.2">
      <c r="A35" s="11">
        <v>30</v>
      </c>
      <c r="B35" s="12">
        <v>100</v>
      </c>
      <c r="C35" s="13" t="s">
        <v>34</v>
      </c>
      <c r="D35" s="14">
        <v>167.98488</v>
      </c>
      <c r="E35" s="14">
        <v>189.06774000000001</v>
      </c>
      <c r="F35" s="30">
        <v>465.01308</v>
      </c>
      <c r="G35" s="30">
        <v>709.52204000000006</v>
      </c>
      <c r="H35" s="14">
        <v>564.84294</v>
      </c>
      <c r="I35" s="34">
        <v>496.1053</v>
      </c>
      <c r="J35" s="15">
        <v>160.24618000000001</v>
      </c>
      <c r="K35" s="34">
        <v>3424.6587600000003</v>
      </c>
      <c r="L35" s="34">
        <v>310.07035999999999</v>
      </c>
      <c r="M35" s="34">
        <v>282.35194000000001</v>
      </c>
      <c r="N35" s="15">
        <v>624.28518000000008</v>
      </c>
      <c r="O35" s="15">
        <v>245.90776000000002</v>
      </c>
      <c r="P35" s="15" t="s">
        <v>1</v>
      </c>
      <c r="Q35" s="34">
        <v>829.82908000000009</v>
      </c>
      <c r="R35" s="34">
        <v>253.83834000000002</v>
      </c>
      <c r="S35" s="42">
        <v>516.28578000000005</v>
      </c>
      <c r="T35" s="15">
        <v>478.51268000000005</v>
      </c>
      <c r="U35" s="15">
        <v>587.35536000000002</v>
      </c>
      <c r="V35" s="15">
        <v>348.29516000000001</v>
      </c>
    </row>
    <row r="36" spans="1:22" s="19" customFormat="1" x14ac:dyDescent="0.2">
      <c r="A36" s="20"/>
      <c r="B36" s="21"/>
      <c r="C36" s="47" t="s">
        <v>63</v>
      </c>
      <c r="D36" s="22">
        <f>SUM(D31:D35)</f>
        <v>225.90386000000001</v>
      </c>
      <c r="E36" s="22">
        <f t="shared" ref="E36:U36" si="2">SUM(E31:E35)</f>
        <v>290.9633</v>
      </c>
      <c r="F36" s="22">
        <f t="shared" si="2"/>
        <v>487.1696</v>
      </c>
      <c r="G36" s="22">
        <f t="shared" si="2"/>
        <v>756.31168000000002</v>
      </c>
      <c r="H36" s="22">
        <f t="shared" si="2"/>
        <v>700.90264000000002</v>
      </c>
      <c r="I36" s="22">
        <f t="shared" si="2"/>
        <v>644.34091999999998</v>
      </c>
      <c r="J36" s="22">
        <f t="shared" si="2"/>
        <v>335.15458000000001</v>
      </c>
      <c r="K36" s="22">
        <f t="shared" si="2"/>
        <v>3657.7046800000003</v>
      </c>
      <c r="L36" s="22">
        <f t="shared" si="2"/>
        <v>570.84482000000003</v>
      </c>
      <c r="M36" s="22">
        <f t="shared" si="2"/>
        <v>320.81610000000001</v>
      </c>
      <c r="N36" s="22">
        <f t="shared" si="2"/>
        <v>700.5168000000001</v>
      </c>
      <c r="O36" s="22">
        <f t="shared" si="2"/>
        <v>333.35670000000005</v>
      </c>
      <c r="P36" s="22">
        <f t="shared" si="2"/>
        <v>44.558779999999999</v>
      </c>
      <c r="Q36" s="22">
        <f t="shared" si="2"/>
        <v>1022.9361000000001</v>
      </c>
      <c r="R36" s="22">
        <f t="shared" si="2"/>
        <v>293.92948000000001</v>
      </c>
      <c r="S36" s="22">
        <f t="shared" si="2"/>
        <v>666.55752000000007</v>
      </c>
      <c r="T36" s="22">
        <f t="shared" si="2"/>
        <v>702.56244000000004</v>
      </c>
      <c r="U36" s="22">
        <f t="shared" si="2"/>
        <v>728.50340000000006</v>
      </c>
      <c r="V36" s="22">
        <f>SUM(V31:V35)</f>
        <v>421.10942</v>
      </c>
    </row>
    <row r="37" spans="1:22" x14ac:dyDescent="0.2">
      <c r="A37" s="11">
        <v>3</v>
      </c>
      <c r="B37" s="12">
        <v>10</v>
      </c>
      <c r="C37" s="13" t="s">
        <v>35</v>
      </c>
      <c r="D37" s="14">
        <v>18.141165986101374</v>
      </c>
      <c r="E37" s="14">
        <v>18.09061634011929</v>
      </c>
      <c r="F37" s="30">
        <v>15.190842987830999</v>
      </c>
      <c r="G37" s="30">
        <v>14.831156909931677</v>
      </c>
      <c r="H37" s="14">
        <v>14.790172822144894</v>
      </c>
      <c r="I37" s="34">
        <v>21.585801564920175</v>
      </c>
      <c r="J37" s="15">
        <v>19.731540662805426</v>
      </c>
      <c r="K37" s="34">
        <v>33.994822029909955</v>
      </c>
      <c r="L37" s="34">
        <v>25.74251177955783</v>
      </c>
      <c r="M37" s="34">
        <v>13.852830467730337</v>
      </c>
      <c r="N37" s="15">
        <v>14.011145780293104</v>
      </c>
      <c r="O37" s="15">
        <v>16.649240095878209</v>
      </c>
      <c r="P37" s="15">
        <v>14.062718830611482</v>
      </c>
      <c r="Q37" s="34">
        <v>31.389286097296377</v>
      </c>
      <c r="R37" s="34">
        <v>18.727526195535201</v>
      </c>
      <c r="S37" s="42">
        <v>22.947393938776976</v>
      </c>
      <c r="T37" s="15">
        <v>22.729124419663552</v>
      </c>
      <c r="U37" s="15">
        <v>18.837003117869514</v>
      </c>
      <c r="V37" s="15">
        <v>14.853996502760333</v>
      </c>
    </row>
    <row r="38" spans="1:22" x14ac:dyDescent="0.2">
      <c r="A38" s="11">
        <v>6</v>
      </c>
      <c r="B38" s="12">
        <v>20</v>
      </c>
      <c r="C38" s="13" t="s">
        <v>33</v>
      </c>
      <c r="D38" s="14" t="s">
        <v>2</v>
      </c>
      <c r="E38" s="14" t="s">
        <v>2</v>
      </c>
      <c r="F38" s="30" t="s">
        <v>2</v>
      </c>
      <c r="G38" s="30" t="s">
        <v>2</v>
      </c>
      <c r="H38" s="14" t="s">
        <v>2</v>
      </c>
      <c r="I38" s="34">
        <v>44.213660000000004</v>
      </c>
      <c r="J38" s="15" t="s">
        <v>2</v>
      </c>
      <c r="K38" s="34">
        <v>154.69648000000001</v>
      </c>
      <c r="L38" s="34" t="s">
        <v>2</v>
      </c>
      <c r="M38" s="34" t="s">
        <v>2</v>
      </c>
      <c r="N38" s="15" t="s">
        <v>2</v>
      </c>
      <c r="O38" s="15" t="s">
        <v>2</v>
      </c>
      <c r="P38" s="15" t="s">
        <v>2</v>
      </c>
      <c r="Q38" s="34" t="s">
        <v>2</v>
      </c>
      <c r="R38" s="34" t="s">
        <v>2</v>
      </c>
      <c r="S38" s="42" t="s">
        <v>1</v>
      </c>
      <c r="T38" s="15">
        <v>20.727720000000001</v>
      </c>
      <c r="U38" s="15" t="s">
        <v>1</v>
      </c>
      <c r="V38" s="15" t="s">
        <v>2</v>
      </c>
    </row>
    <row r="39" spans="1:22" s="19" customFormat="1" x14ac:dyDescent="0.2">
      <c r="A39" s="20"/>
      <c r="B39" s="21"/>
      <c r="C39" s="47" t="s">
        <v>65</v>
      </c>
      <c r="D39" s="22">
        <f>SUM(D37:D38)</f>
        <v>18.141165986101374</v>
      </c>
      <c r="E39" s="22">
        <f t="shared" ref="E39:V39" si="3">SUM(E37:E38)</f>
        <v>18.09061634011929</v>
      </c>
      <c r="F39" s="22">
        <f t="shared" si="3"/>
        <v>15.190842987830999</v>
      </c>
      <c r="G39" s="22">
        <f t="shared" si="3"/>
        <v>14.831156909931677</v>
      </c>
      <c r="H39" s="22">
        <f t="shared" si="3"/>
        <v>14.790172822144894</v>
      </c>
      <c r="I39" s="22">
        <f t="shared" si="3"/>
        <v>65.799461564920179</v>
      </c>
      <c r="J39" s="22">
        <f t="shared" si="3"/>
        <v>19.731540662805426</v>
      </c>
      <c r="K39" s="22">
        <f t="shared" si="3"/>
        <v>188.69130202990996</v>
      </c>
      <c r="L39" s="22">
        <f t="shared" si="3"/>
        <v>25.74251177955783</v>
      </c>
      <c r="M39" s="22">
        <f t="shared" si="3"/>
        <v>13.852830467730337</v>
      </c>
      <c r="N39" s="22">
        <f t="shared" si="3"/>
        <v>14.011145780293104</v>
      </c>
      <c r="O39" s="22">
        <f t="shared" si="3"/>
        <v>16.649240095878209</v>
      </c>
      <c r="P39" s="22">
        <f t="shared" si="3"/>
        <v>14.062718830611482</v>
      </c>
      <c r="Q39" s="22">
        <f t="shared" si="3"/>
        <v>31.389286097296377</v>
      </c>
      <c r="R39" s="22">
        <f t="shared" si="3"/>
        <v>18.727526195535201</v>
      </c>
      <c r="S39" s="22">
        <f t="shared" si="3"/>
        <v>22.947393938776976</v>
      </c>
      <c r="T39" s="22">
        <f t="shared" si="3"/>
        <v>43.456844419663554</v>
      </c>
      <c r="U39" s="22">
        <f t="shared" si="3"/>
        <v>18.837003117869514</v>
      </c>
      <c r="V39" s="22">
        <f t="shared" si="3"/>
        <v>14.853996502760333</v>
      </c>
    </row>
    <row r="40" spans="1:22" x14ac:dyDescent="0.2">
      <c r="A40" s="11">
        <v>6.0000000000000012E-2</v>
      </c>
      <c r="B40" s="12">
        <v>0.2</v>
      </c>
      <c r="C40" s="13" t="s">
        <v>36</v>
      </c>
      <c r="D40" s="14">
        <v>1.0486599999999999</v>
      </c>
      <c r="E40" s="14">
        <v>1.1265000000000001</v>
      </c>
      <c r="F40" s="30">
        <v>0.71476000000000006</v>
      </c>
      <c r="G40" s="30">
        <v>0.41664000000000007</v>
      </c>
      <c r="H40" s="14">
        <v>1.6616</v>
      </c>
      <c r="I40" s="34">
        <v>2.12364</v>
      </c>
      <c r="J40" s="15">
        <v>2.67096</v>
      </c>
      <c r="K40" s="34">
        <v>1.2982</v>
      </c>
      <c r="L40" s="34">
        <v>4.7746599999999999</v>
      </c>
      <c r="M40" s="34" t="s">
        <v>2</v>
      </c>
      <c r="N40" s="15">
        <v>0.44203999999999999</v>
      </c>
      <c r="O40" s="15">
        <v>0.21309999999999998</v>
      </c>
      <c r="P40" s="15" t="s">
        <v>1</v>
      </c>
      <c r="Q40" s="34">
        <v>4.7831400000000004</v>
      </c>
      <c r="R40" s="34">
        <v>0.88434000000000013</v>
      </c>
      <c r="S40" s="42">
        <v>7.1471999999999998</v>
      </c>
      <c r="T40" s="15">
        <v>8.2203199999999992</v>
      </c>
      <c r="U40" s="15">
        <v>11.526020000000001</v>
      </c>
      <c r="V40" s="15" t="s">
        <v>1</v>
      </c>
    </row>
    <row r="41" spans="1:22" x14ac:dyDescent="0.2">
      <c r="A41" s="11">
        <v>0.3</v>
      </c>
      <c r="B41" s="12">
        <v>1</v>
      </c>
      <c r="C41" s="13" t="s">
        <v>37</v>
      </c>
      <c r="D41" s="14" t="s">
        <v>2</v>
      </c>
      <c r="E41" s="14" t="s">
        <v>2</v>
      </c>
      <c r="F41" s="30" t="s">
        <v>2</v>
      </c>
      <c r="G41" s="30" t="s">
        <v>2</v>
      </c>
      <c r="H41" s="14" t="s">
        <v>2</v>
      </c>
      <c r="I41" s="34" t="s">
        <v>2</v>
      </c>
      <c r="J41" s="15" t="s">
        <v>2</v>
      </c>
      <c r="K41" s="34" t="s">
        <v>2</v>
      </c>
      <c r="L41" s="34" t="s">
        <v>2</v>
      </c>
      <c r="M41" s="34" t="s">
        <v>2</v>
      </c>
      <c r="N41" s="15" t="s">
        <v>2</v>
      </c>
      <c r="O41" s="15" t="s">
        <v>2</v>
      </c>
      <c r="P41" s="15" t="s">
        <v>2</v>
      </c>
      <c r="Q41" s="34" t="s">
        <v>2</v>
      </c>
      <c r="R41" s="34" t="s">
        <v>2</v>
      </c>
      <c r="S41" s="42" t="s">
        <v>2</v>
      </c>
      <c r="T41" s="15" t="s">
        <v>2</v>
      </c>
      <c r="U41" s="15" t="s">
        <v>2</v>
      </c>
      <c r="V41" s="15" t="s">
        <v>2</v>
      </c>
    </row>
    <row r="42" spans="1:22" x14ac:dyDescent="0.2">
      <c r="A42" s="11">
        <v>1.5</v>
      </c>
      <c r="B42" s="12">
        <v>5</v>
      </c>
      <c r="C42" s="13" t="s">
        <v>38</v>
      </c>
      <c r="D42" s="14">
        <v>1614.65996</v>
      </c>
      <c r="E42" s="14">
        <v>20.89048</v>
      </c>
      <c r="F42" s="30">
        <v>25.973780000000001</v>
      </c>
      <c r="G42" s="30">
        <v>284.30938000000003</v>
      </c>
      <c r="H42" s="14">
        <v>1655.0367800000001</v>
      </c>
      <c r="I42" s="34">
        <v>49.792880000000004</v>
      </c>
      <c r="J42" s="15">
        <v>1744.47444</v>
      </c>
      <c r="K42" s="34">
        <v>11.378480000000001</v>
      </c>
      <c r="L42" s="34">
        <v>1836.58818</v>
      </c>
      <c r="M42" s="34">
        <v>6.0375000000000005</v>
      </c>
      <c r="N42" s="15">
        <v>26.006460000000001</v>
      </c>
      <c r="O42" s="15">
        <v>8.2809600000000003</v>
      </c>
      <c r="P42" s="15" t="s">
        <v>1</v>
      </c>
      <c r="Q42" s="34">
        <v>50.921660000000003</v>
      </c>
      <c r="R42" s="34">
        <v>13.39134</v>
      </c>
      <c r="S42" s="42">
        <v>39.448020000000007</v>
      </c>
      <c r="T42" s="15">
        <v>45.538620000000002</v>
      </c>
      <c r="U42" s="15">
        <v>1286.3579</v>
      </c>
      <c r="V42" s="15" t="s">
        <v>1</v>
      </c>
    </row>
    <row r="43" spans="1:22" s="19" customFormat="1" ht="16" thickBot="1" x14ac:dyDescent="0.25">
      <c r="A43" s="24"/>
      <c r="B43" s="25"/>
      <c r="C43" s="26" t="s">
        <v>64</v>
      </c>
      <c r="D43" s="27">
        <f t="shared" ref="D43:V43" si="4">SUM(D40:D42)</f>
        <v>1615.7086199999999</v>
      </c>
      <c r="E43" s="27">
        <f t="shared" si="4"/>
        <v>22.01698</v>
      </c>
      <c r="F43" s="32">
        <f t="shared" si="4"/>
        <v>26.688540000000003</v>
      </c>
      <c r="G43" s="32">
        <f t="shared" si="4"/>
        <v>284.72602000000001</v>
      </c>
      <c r="H43" s="27">
        <f t="shared" si="4"/>
        <v>1656.69838</v>
      </c>
      <c r="I43" s="36">
        <f t="shared" si="4"/>
        <v>51.916520000000006</v>
      </c>
      <c r="J43" s="28">
        <f t="shared" si="4"/>
        <v>1747.1453999999999</v>
      </c>
      <c r="K43" s="36">
        <f t="shared" si="4"/>
        <v>12.676680000000001</v>
      </c>
      <c r="L43" s="36">
        <f t="shared" si="4"/>
        <v>1841.36284</v>
      </c>
      <c r="M43" s="36">
        <f t="shared" si="4"/>
        <v>6.0375000000000005</v>
      </c>
      <c r="N43" s="28">
        <f t="shared" si="4"/>
        <v>26.448499999999999</v>
      </c>
      <c r="O43" s="28">
        <f t="shared" si="4"/>
        <v>8.4940600000000011</v>
      </c>
      <c r="P43" s="28">
        <f t="shared" si="4"/>
        <v>0</v>
      </c>
      <c r="Q43" s="36">
        <f t="shared" si="4"/>
        <v>55.704800000000006</v>
      </c>
      <c r="R43" s="36">
        <f t="shared" si="4"/>
        <v>14.275679999999999</v>
      </c>
      <c r="S43" s="44">
        <f t="shared" si="4"/>
        <v>46.595220000000005</v>
      </c>
      <c r="T43" s="28">
        <f t="shared" si="4"/>
        <v>53.758940000000003</v>
      </c>
      <c r="U43" s="28">
        <f t="shared" si="4"/>
        <v>1297.88392</v>
      </c>
      <c r="V43" s="28">
        <f t="shared" si="4"/>
        <v>0</v>
      </c>
    </row>
  </sheetData>
  <conditionalFormatting sqref="A1:B43 D1:V43">
    <cfRule type="containsText" dxfId="1" priority="1" operator="containsText" text="&lt;LD">
      <formula>NOT(ISERROR(SEARCH("&lt;LD",A1)))</formula>
    </cfRule>
  </conditionalFormatting>
  <conditionalFormatting sqref="C1">
    <cfRule type="containsText" dxfId="0" priority="33" operator="containsText" text="&lt;LD">
      <formula>NOT(ISERROR(SEARCH("&lt;LD",C1)))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Bilan_R</vt:lpstr>
    </vt:vector>
  </TitlesOfParts>
  <Company>CEDRE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RECEVEUR, Cedre Cedre CEDRE-ANALYSESETMO</dc:creator>
  <cp:lastModifiedBy>Edgar Dusacre</cp:lastModifiedBy>
  <cp:lastPrinted>2022-03-23T15:22:13Z</cp:lastPrinted>
  <dcterms:created xsi:type="dcterms:W3CDTF">2018-12-19T09:23:47Z</dcterms:created>
  <dcterms:modified xsi:type="dcterms:W3CDTF">2026-07-23T14:41:12Z</dcterms:modified>
</cp:coreProperties>
</file>